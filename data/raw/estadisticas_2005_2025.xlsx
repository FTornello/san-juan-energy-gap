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ammesacomar.sharepoint.com/sites/msteams_a0581f_281332/Documentos compartidos/General/Periódicos/Infoanual/Info Anual 2025/"/>
    </mc:Choice>
  </mc:AlternateContent>
  <xr:revisionPtr revIDLastSave="960" documentId="8_{0978BB12-9B7F-46AC-98C2-EF776E871AEA}" xr6:coauthVersionLast="47" xr6:coauthVersionMax="47" xr10:uidLastSave="{82EF9BB9-3EA9-4FC3-8D25-9E5BC7437E01}"/>
  <bookViews>
    <workbookView xWindow="-120" yWindow="-120" windowWidth="29040" windowHeight="15720" xr2:uid="{B44BE06C-9482-4C9A-AC1F-B5B2C5DC93B4}"/>
  </bookViews>
  <sheets>
    <sheet name="Evolucion Anu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78" i="3" l="1"/>
  <c r="Y66" i="3" l="1"/>
  <c r="Y163" i="3"/>
  <c r="X10" i="3" l="1"/>
  <c r="X9" i="3"/>
  <c r="Y166" i="3" l="1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Y71" i="3" l="1"/>
  <c r="Y42" i="3"/>
  <c r="Y30" i="3"/>
  <c r="Y9" i="3"/>
  <c r="Y10" i="3" l="1"/>
  <c r="J163" i="3" l="1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F163" i="3"/>
  <c r="G163" i="3"/>
  <c r="H163" i="3"/>
  <c r="I163" i="3"/>
  <c r="E163" i="3"/>
  <c r="Y110" i="3" l="1"/>
  <c r="Y35" i="3" l="1"/>
  <c r="Y43" i="3" s="1"/>
  <c r="Y45" i="3" l="1"/>
  <c r="Y60" i="3"/>
  <c r="Y53" i="3"/>
  <c r="Y47" i="3"/>
  <c r="Y49" i="3"/>
  <c r="Y59" i="3"/>
  <c r="Y55" i="3"/>
  <c r="Y48" i="3" l="1"/>
  <c r="Y54" i="3"/>
  <c r="Y58" i="3"/>
  <c r="Y57" i="3"/>
  <c r="Y50" i="3"/>
  <c r="Y51" i="3"/>
  <c r="Y44" i="3"/>
  <c r="Y61" i="3"/>
  <c r="Y56" i="3"/>
  <c r="Y52" i="3"/>
  <c r="Y46" i="3"/>
  <c r="Y129" i="3"/>
  <c r="Y107" i="3"/>
  <c r="Y122" i="3" l="1"/>
  <c r="Y124" i="3"/>
  <c r="Y16" i="3"/>
  <c r="Y14" i="3"/>
  <c r="Y25" i="3" s="1"/>
  <c r="Y132" i="3"/>
  <c r="Y137" i="3" s="1"/>
  <c r="Y109" i="3"/>
  <c r="Y130" i="3"/>
  <c r="Y135" i="3" s="1"/>
  <c r="Y131" i="3"/>
  <c r="Y136" i="3" s="1"/>
  <c r="Y108" i="3"/>
  <c r="Y123" i="3"/>
  <c r="Y134" i="3"/>
  <c r="Y151" i="3"/>
  <c r="Y145" i="3"/>
  <c r="Y125" i="3"/>
  <c r="Y126" i="3"/>
  <c r="Y111" i="3" l="1"/>
  <c r="Y116" i="3" s="1"/>
  <c r="Y80" i="3"/>
  <c r="Y97" i="3" s="1"/>
  <c r="Y23" i="3"/>
  <c r="Y133" i="3"/>
  <c r="Y128" i="3"/>
  <c r="Y18" i="3"/>
  <c r="Y24" i="3"/>
  <c r="Y22" i="3"/>
  <c r="Y17" i="3"/>
  <c r="Y20" i="3"/>
  <c r="Y21" i="3"/>
  <c r="Y19" i="3"/>
  <c r="Y100" i="3"/>
  <c r="Y113" i="3" l="1"/>
  <c r="Y112" i="3"/>
  <c r="Y139" i="3"/>
  <c r="Y138" i="3"/>
  <c r="Y114" i="3"/>
  <c r="Y115" i="3"/>
  <c r="Y99" i="3"/>
  <c r="Y95" i="3"/>
  <c r="Y82" i="3"/>
  <c r="Y84" i="3"/>
  <c r="Y83" i="3"/>
  <c r="Y81" i="3"/>
  <c r="Y91" i="3"/>
  <c r="Y86" i="3"/>
  <c r="Y96" i="3"/>
  <c r="Y88" i="3"/>
  <c r="Y89" i="3"/>
  <c r="Y85" i="3"/>
  <c r="Y98" i="3"/>
  <c r="Y93" i="3"/>
  <c r="Y94" i="3"/>
  <c r="Y87" i="3"/>
  <c r="Y92" i="3"/>
  <c r="Y90" i="3"/>
</calcChain>
</file>

<file path=xl/sharedStrings.xml><?xml version="1.0" encoding="utf-8"?>
<sst xmlns="http://schemas.openxmlformats.org/spreadsheetml/2006/main" count="407" uniqueCount="164">
  <si>
    <t>Importación</t>
  </si>
  <si>
    <t>[MW]</t>
  </si>
  <si>
    <t>[GWh]</t>
  </si>
  <si>
    <t>POTENCIA MÁX</t>
  </si>
  <si>
    <t>IMP Brasil</t>
  </si>
  <si>
    <t>IMP Paraguay</t>
  </si>
  <si>
    <t>IMP Uruguay</t>
  </si>
  <si>
    <t>IMP Chile</t>
  </si>
  <si>
    <t>EXP Brasil</t>
  </si>
  <si>
    <t>EXP Paraguay</t>
  </si>
  <si>
    <t>EXP Uruguay</t>
  </si>
  <si>
    <t>EXP Chile</t>
  </si>
  <si>
    <t>[$/MWh]</t>
  </si>
  <si>
    <t>DEMANDA LOCAL</t>
  </si>
  <si>
    <t>POTENCIA INSTALADA TOTAL</t>
  </si>
  <si>
    <t>Unidad</t>
  </si>
  <si>
    <t>[mdam3]</t>
  </si>
  <si>
    <t>[kTon]</t>
  </si>
  <si>
    <t>[mm3]</t>
  </si>
  <si>
    <t>[Kcal/KWh]</t>
  </si>
  <si>
    <t>DEMANDA</t>
  </si>
  <si>
    <t>[Mm3/d]</t>
  </si>
  <si>
    <t>COMBUSTIBLES TOTAL (gas eq)</t>
  </si>
  <si>
    <t>TOTAL IMPORTACIÓN</t>
  </si>
  <si>
    <t>TOTAL EXPORTACIÓN</t>
  </si>
  <si>
    <t>Demanda Residencial</t>
  </si>
  <si>
    <t>Demanda Comercial</t>
  </si>
  <si>
    <t>Exportación total</t>
  </si>
  <si>
    <t>[u$s/MWh]</t>
  </si>
  <si>
    <t>Tasa de Cambio</t>
  </si>
  <si>
    <t>[$ar/usd]</t>
  </si>
  <si>
    <t>Barril de petróleo</t>
  </si>
  <si>
    <t>TEMPERATURA MEDIA</t>
  </si>
  <si>
    <t>[°C]</t>
  </si>
  <si>
    <t>[U$s / barril Brent]</t>
  </si>
  <si>
    <t>[%]</t>
  </si>
  <si>
    <t>**No se consideran las importaciones ni exportaciones de paso de Energía de Brasil a Uruguay</t>
  </si>
  <si>
    <t>Energía generada con GAS NATURAL</t>
  </si>
  <si>
    <t>Energía generada con FUEL OIL</t>
  </si>
  <si>
    <t>Energía generada con GAS OIL</t>
  </si>
  <si>
    <t>Energía generada con CARBÓN</t>
  </si>
  <si>
    <t>Energía generada con BIODIESEL</t>
  </si>
  <si>
    <t>E. Térmica asociada al uso de combustible</t>
  </si>
  <si>
    <t>Cant de días</t>
  </si>
  <si>
    <t>CEM GAS NATURAL</t>
  </si>
  <si>
    <t>CEM FUEL OIL</t>
  </si>
  <si>
    <t>CEM GAS OIL</t>
  </si>
  <si>
    <t>CEM CARBÓN</t>
  </si>
  <si>
    <t>CEM BIODIESEL</t>
  </si>
  <si>
    <t>CEM TOTAL</t>
  </si>
  <si>
    <t>OFERTA TOTAL</t>
  </si>
  <si>
    <t>Térmica</t>
  </si>
  <si>
    <t>Nuclear</t>
  </si>
  <si>
    <t>Eólica</t>
  </si>
  <si>
    <t>Biogas</t>
  </si>
  <si>
    <t>Biomasa</t>
  </si>
  <si>
    <t>Solar</t>
  </si>
  <si>
    <t>% Cobertura Renovable / Demanda</t>
  </si>
  <si>
    <t>GAS NATURAL</t>
  </si>
  <si>
    <t>FUEL OIL</t>
  </si>
  <si>
    <t>GAS OIL</t>
  </si>
  <si>
    <t>CARBÓN</t>
  </si>
  <si>
    <t>BIODIESEL</t>
  </si>
  <si>
    <t>GAS NATURAL (Gas Eq)</t>
  </si>
  <si>
    <t>FUEL OIL (Gas Eq)</t>
  </si>
  <si>
    <t>GAS OIL (Gas Eq)</t>
  </si>
  <si>
    <t>CARBÓN (Gas Eq)</t>
  </si>
  <si>
    <t>BIODIESEL (Gas Eq)</t>
  </si>
  <si>
    <t>Costo Marginal Operado Medio [$Ar]</t>
  </si>
  <si>
    <t>Monómico TOTAL [u$s]</t>
  </si>
  <si>
    <t>Monómico Estacional (Ener +Pot+Transp.) [u$s]</t>
  </si>
  <si>
    <t>Costo Marginal Operado Medio [u$s]</t>
  </si>
  <si>
    <t>% Cobertura</t>
  </si>
  <si>
    <t>% Cobertura Monómico Estacional / Total</t>
  </si>
  <si>
    <t>COMBUSTIBLES</t>
  </si>
  <si>
    <t>INTERCAMBIOS</t>
  </si>
  <si>
    <t>VARIABLES
NO MEM</t>
  </si>
  <si>
    <t>% COBERTURA</t>
  </si>
  <si>
    <t>Resumen de las Principales Variables del MEM - Datos de Análisis</t>
  </si>
  <si>
    <t>*Potencia instalada de Generadores a Diciembre de cada año. No incluye saldo autogeneradores industriales.</t>
  </si>
  <si>
    <t>Gran Demanda Industrial/Comercial</t>
  </si>
  <si>
    <t>Emisiones CO2 - GAS NATURAL</t>
  </si>
  <si>
    <t>[MM ton CO2]</t>
  </si>
  <si>
    <t>Emisiones CO2 - FUEL OIL</t>
  </si>
  <si>
    <t>Emisiones CO2 - GAS OIL</t>
  </si>
  <si>
    <t>Emisiones CO2 - CARBÓN</t>
  </si>
  <si>
    <t>Emisiones - Energía Térmica</t>
  </si>
  <si>
    <t>Emisiones unit GAS NATURAL</t>
  </si>
  <si>
    <t>[ton CO2/MWh]</t>
  </si>
  <si>
    <t>Emisiones unit FUEL OIL</t>
  </si>
  <si>
    <t>Emisiones unit GAS OIL</t>
  </si>
  <si>
    <t>Emisiones unit CARBÓN</t>
  </si>
  <si>
    <t>Emisiones unit  Gen Térmica</t>
  </si>
  <si>
    <t>Emisiones unit  Oferta Total</t>
  </si>
  <si>
    <t>IMP Bolivia</t>
  </si>
  <si>
    <t>Exp Bolivia</t>
  </si>
  <si>
    <t>Pot máxima</t>
  </si>
  <si>
    <t>CONSUMO DE</t>
  </si>
  <si>
    <t>Energía generada</t>
  </si>
  <si>
    <t>por tipo de</t>
  </si>
  <si>
    <t>Combustible</t>
  </si>
  <si>
    <t>CONSUMO</t>
  </si>
  <si>
    <t>ESPECÍFICO</t>
  </si>
  <si>
    <t>MEDIO</t>
  </si>
  <si>
    <t>EMISIONES CO2</t>
  </si>
  <si>
    <t>TOTALES</t>
  </si>
  <si>
    <t>UNITARIAS</t>
  </si>
  <si>
    <t>INTERNACIONALES</t>
  </si>
  <si>
    <t>PRECIO MEDIO</t>
  </si>
  <si>
    <t>Anual Ponderado</t>
  </si>
  <si>
    <t>[$Ar]</t>
  </si>
  <si>
    <t>[u$s]</t>
  </si>
  <si>
    <t>CMO [$Ar]</t>
  </si>
  <si>
    <t>CMO [u$s]</t>
  </si>
  <si>
    <t>POTENCIA</t>
  </si>
  <si>
    <t>INSTALADA</t>
  </si>
  <si>
    <t>Ciclos Combinados</t>
  </si>
  <si>
    <t>Turbina a gas</t>
  </si>
  <si>
    <t>Turbovapor</t>
  </si>
  <si>
    <t>Motor Diesel</t>
  </si>
  <si>
    <t>Evolución anual 2005 a 2025</t>
  </si>
  <si>
    <t>Gran Usuario en Distribuidor</t>
  </si>
  <si>
    <t>Gran Usuario MEM</t>
  </si>
  <si>
    <t>Valores físicos</t>
  </si>
  <si>
    <t>Bombeo</t>
  </si>
  <si>
    <t>Pérdidas</t>
  </si>
  <si>
    <t>DEMANDA TOTAL</t>
  </si>
  <si>
    <t>Factor de carga</t>
  </si>
  <si>
    <t>FACTOR DE CARGA</t>
  </si>
  <si>
    <t>Participación [%]</t>
  </si>
  <si>
    <t>POTENCIA INSTALADA
(*)</t>
  </si>
  <si>
    <t>Comahue</t>
  </si>
  <si>
    <t>Salto Grande</t>
  </si>
  <si>
    <t>Yacyretá (******)</t>
  </si>
  <si>
    <t>Resto</t>
  </si>
  <si>
    <t>Hidráulica Renovable HI &gt; 50 MW (*****)</t>
  </si>
  <si>
    <t xml:space="preserve">POTENCIA </t>
  </si>
  <si>
    <t>Hidráulica Renovable HI &lt;= 50 MW</t>
  </si>
  <si>
    <t>Renovable Ley 26190</t>
  </si>
  <si>
    <t>Yacyretá</t>
  </si>
  <si>
    <t xml:space="preserve"> INSTALADA</t>
  </si>
  <si>
    <t>OFERTA
por tecnología</t>
  </si>
  <si>
    <t>OFERTA</t>
  </si>
  <si>
    <t/>
  </si>
  <si>
    <t>Consumo de</t>
  </si>
  <si>
    <t>Combustibles</t>
  </si>
  <si>
    <t>EMISIONES</t>
  </si>
  <si>
    <t>VARIABLES ECONÓMICAS</t>
  </si>
  <si>
    <t>Variables NO MEM</t>
  </si>
  <si>
    <t>*** Se considera el mismo % de disponibilidad para Hidro Renovable que para Hidro Convencional</t>
  </si>
  <si>
    <t>**** EO, FV, BM y BG: Disponibilidad % de las tecnologías renovables calculadas como el cociente entre la generación anual y la potencia instalada promedio / Se considera factor de utilización igual a factor de disponibilidad.</t>
  </si>
  <si>
    <t>***** Desde el mes de Agosto 2023 se comenzó a clasificar a la tecnología HIDRO, centrales que se encuentran fuera de la definición de la Ley 26 190 por tener una potencia instalada mayor a 50MW, dentro de la fuente RENOVABLE, clasificándolas como tecnología HIDRO &gt; 50 MW</t>
  </si>
  <si>
    <t>****** La potencia para la central Yacyretá se corresponde con la potencia disponible firme para Argentina, 1 550 MW. La potencia total instalada de la misma es de 3 100 MW.</t>
  </si>
  <si>
    <t>* Monómico: incluye los sobrecostos transtorios de despacho no relacionados con servicios. Potencia: no incluye servicios</t>
  </si>
  <si>
    <t>Energía* [$Ar]</t>
  </si>
  <si>
    <t>Potencia** [$Ar]</t>
  </si>
  <si>
    <t>Servicios [$Ar]</t>
  </si>
  <si>
    <t>Transporte [$Ar]</t>
  </si>
  <si>
    <t>TOTAL [$Ar]</t>
  </si>
  <si>
    <t>Precio Estacional (Ener +Pot+Transp.) [$Ar] + Cargos GUDI</t>
  </si>
  <si>
    <t>Energía* [u$s]</t>
  </si>
  <si>
    <t>Potencia** [u$s]</t>
  </si>
  <si>
    <t>Servicios [u$s]</t>
  </si>
  <si>
    <t>Transporte [u$s]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</si>
</sst>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* #,##0.00\ _€_-;\-* #,##0.00\ _€_-;_-* &quot;-&quot;??\ _€_-;_-@_-"/>
    <numFmt numFmtId="165" formatCode="0.0%"/>
    <numFmt numFmtId="166" formatCode="#,##0.0"/>
    <numFmt numFmtId="167" formatCode="0.0"/>
    <numFmt numFmtId="168" formatCode="_ * #,##0.00_ ;_ * \-#,##0.00_ ;_ * &quot;-&quot;??_ ;_ @_ "/>
  </numFmts>
  <fonts count="37" x14ac:knownFonts="1">
    <font>
      <sz val="11"/>
      <color theme="1"/>
      <name val="Proxima Nova Rg"/>
      <family val="2"/>
      <scheme val="minor"/>
    </font>
    <font>
      <sz val="11"/>
      <color theme="1"/>
      <name val="Proxima Nova Rg"/>
      <family val="2"/>
      <scheme val="minor"/>
    </font>
    <font>
      <sz val="10"/>
      <name val="Arial"/>
      <family val="2"/>
    </font>
    <font>
      <sz val="11"/>
      <color theme="4" tint="0.59999389629810485"/>
      <name val="Proxima Nova Rg"/>
      <family val="3"/>
      <scheme val="minor"/>
    </font>
    <font>
      <sz val="11"/>
      <color theme="1"/>
      <name val="Proxima Nova Rg"/>
      <family val="3"/>
      <scheme val="minor"/>
    </font>
    <font>
      <sz val="11"/>
      <color theme="8"/>
      <name val="Proxima Nova Rg"/>
      <family val="3"/>
      <scheme val="minor"/>
    </font>
    <font>
      <b/>
      <sz val="14"/>
      <color theme="3"/>
      <name val="Proxima Nova Rg"/>
      <family val="3"/>
      <scheme val="minor"/>
    </font>
    <font>
      <sz val="9"/>
      <color theme="1"/>
      <name val="Proxima Nova Rg"/>
      <family val="3"/>
      <scheme val="minor"/>
    </font>
    <font>
      <sz val="11"/>
      <color theme="0"/>
      <name val="Proxima Nova Rg"/>
      <family val="3"/>
      <scheme val="minor"/>
    </font>
    <font>
      <b/>
      <sz val="12"/>
      <color rgb="FFFFFFFF"/>
      <name val="Proxima Nova Rg"/>
      <family val="3"/>
      <scheme val="minor"/>
    </font>
    <font>
      <b/>
      <sz val="14"/>
      <color theme="3"/>
      <name val="Proxima Nova Bl"/>
      <family val="3"/>
      <scheme val="major"/>
    </font>
    <font>
      <b/>
      <sz val="18"/>
      <color theme="8"/>
      <name val="Proxima Nova Bl"/>
      <family val="3"/>
      <scheme val="major"/>
    </font>
    <font>
      <sz val="12"/>
      <color theme="1"/>
      <name val="Proxima Nova Rg"/>
      <family val="3"/>
      <scheme val="minor"/>
    </font>
    <font>
      <b/>
      <sz val="12"/>
      <name val="Proxima Nova Rg"/>
      <family val="3"/>
      <scheme val="minor"/>
    </font>
    <font>
      <b/>
      <sz val="12"/>
      <color theme="0"/>
      <name val="Proxima Nova Rg"/>
      <family val="3"/>
      <scheme val="minor"/>
    </font>
    <font>
      <b/>
      <sz val="20"/>
      <color theme="4" tint="0.59999389629810485"/>
      <name val="Proxima Nova Bl"/>
      <family val="3"/>
      <scheme val="major"/>
    </font>
    <font>
      <b/>
      <sz val="20"/>
      <color theme="4" tint="0.59999389629810485"/>
      <name val="Proxima Nova Rg"/>
      <family val="3"/>
      <scheme val="minor"/>
    </font>
    <font>
      <b/>
      <sz val="9"/>
      <color theme="4" tint="0.59999389629810485"/>
      <name val="Proxima Nova Rg"/>
      <family val="3"/>
      <scheme val="minor"/>
    </font>
    <font>
      <sz val="16"/>
      <color theme="4" tint="0.59999389629810485"/>
      <name val="Proxima Nova Bl"/>
      <family val="3"/>
      <scheme val="major"/>
    </font>
    <font>
      <sz val="16"/>
      <color theme="4" tint="0.59999389629810485"/>
      <name val="Proxima Nova Rg"/>
      <family val="3"/>
      <scheme val="minor"/>
    </font>
    <font>
      <sz val="9"/>
      <color theme="4" tint="0.59999389629810485"/>
      <name val="Proxima Nova Rg"/>
      <family val="3"/>
      <scheme val="minor"/>
    </font>
    <font>
      <sz val="16"/>
      <color theme="8"/>
      <name val="Proxima Nova Bl"/>
      <family val="3"/>
      <scheme val="major"/>
    </font>
    <font>
      <b/>
      <sz val="16"/>
      <color theme="8"/>
      <name val="Proxima Nova Bl"/>
      <family val="3"/>
      <scheme val="major"/>
    </font>
    <font>
      <sz val="12"/>
      <name val="Proxima Nova Rg"/>
      <family val="3"/>
      <scheme val="minor"/>
    </font>
    <font>
      <sz val="12"/>
      <color theme="0"/>
      <name val="Proxima Nova Rg"/>
      <family val="3"/>
      <scheme val="minor"/>
    </font>
    <font>
      <b/>
      <sz val="16"/>
      <color theme="3"/>
      <name val="Proxima Nova Bl"/>
      <family val="3"/>
      <scheme val="major"/>
    </font>
    <font>
      <b/>
      <sz val="16"/>
      <color theme="4"/>
      <name val="Proxima Nova Bl"/>
      <family val="3"/>
      <scheme val="major"/>
    </font>
    <font>
      <sz val="11"/>
      <color theme="1"/>
      <name val="Proxima Nova Bl"/>
      <family val="3"/>
      <scheme val="major"/>
    </font>
    <font>
      <sz val="10.5"/>
      <color rgb="FF000000"/>
      <name val="Proxima Nova Rg"/>
      <family val="3"/>
      <scheme val="minor"/>
    </font>
    <font>
      <b/>
      <sz val="11"/>
      <color theme="1"/>
      <name val="Proxima Nova Rg"/>
      <family val="3"/>
      <scheme val="minor"/>
    </font>
    <font>
      <sz val="9"/>
      <color theme="0"/>
      <name val="Proxima Nova Bl"/>
      <family val="3"/>
      <scheme val="major"/>
    </font>
    <font>
      <b/>
      <sz val="16"/>
      <color theme="1"/>
      <name val="Proxima Nova Rg"/>
      <family val="3"/>
      <scheme val="minor"/>
    </font>
    <font>
      <b/>
      <sz val="16"/>
      <name val="Proxima Nova Rg"/>
      <family val="3"/>
      <scheme val="minor"/>
    </font>
    <font>
      <b/>
      <sz val="16"/>
      <color theme="0"/>
      <name val="Proxima Nova Bl"/>
      <family val="3"/>
      <scheme val="major"/>
    </font>
    <font>
      <b/>
      <sz val="11"/>
      <name val="Proxima Nova Rg"/>
      <family val="3"/>
      <scheme val="minor"/>
    </font>
    <font>
      <b/>
      <sz val="11"/>
      <color theme="0"/>
      <name val="Proxima Nova Rg"/>
      <family val="3"/>
      <scheme val="minor"/>
    </font>
    <font>
      <b/>
      <sz val="11"/>
      <color rgb="FFFFFFFF"/>
      <name val="Proxima Nova Rg"/>
      <family val="3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C7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70C0"/>
      </right>
      <top/>
      <bottom/>
      <diagonal/>
    </border>
    <border>
      <left style="thin">
        <color rgb="FFC7C8CA"/>
      </left>
      <right style="thin">
        <color rgb="FFC7C8CA"/>
      </right>
      <top style="thin">
        <color rgb="FF000000"/>
      </top>
      <bottom/>
      <diagonal/>
    </border>
    <border>
      <left/>
      <right style="thin">
        <color rgb="FF0070C0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12">
    <xf numFmtId="0" fontId="0" fillId="0" borderId="0" xfId="0"/>
    <xf numFmtId="0" fontId="3" fillId="2" borderId="0" xfId="0" applyFont="1" applyFill="1"/>
    <xf numFmtId="0" fontId="4" fillId="3" borderId="0" xfId="0" applyFont="1" applyFill="1"/>
    <xf numFmtId="3" fontId="5" fillId="3" borderId="0" xfId="0" applyNumberFormat="1" applyFont="1" applyFill="1"/>
    <xf numFmtId="4" fontId="5" fillId="3" borderId="0" xfId="0" applyNumberFormat="1" applyFont="1" applyFill="1"/>
    <xf numFmtId="0" fontId="4" fillId="0" borderId="0" xfId="0" applyFont="1"/>
    <xf numFmtId="0" fontId="9" fillId="6" borderId="9" xfId="0" applyFont="1" applyFill="1" applyBorder="1" applyAlignment="1">
      <alignment horizontal="center" vertical="center" wrapText="1" readingOrder="1"/>
    </xf>
    <xf numFmtId="0" fontId="7" fillId="3" borderId="0" xfId="0" applyFont="1" applyFill="1"/>
    <xf numFmtId="0" fontId="7" fillId="0" borderId="0" xfId="0" applyFont="1"/>
    <xf numFmtId="9" fontId="8" fillId="0" borderId="0" xfId="0" applyNumberFormat="1" applyFont="1"/>
    <xf numFmtId="0" fontId="11" fillId="3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3" fontId="12" fillId="3" borderId="1" xfId="1" applyNumberFormat="1" applyFont="1" applyFill="1" applyBorder="1" applyAlignment="1">
      <alignment horizontal="center" vertical="center"/>
    </xf>
    <xf numFmtId="3" fontId="14" fillId="2" borderId="1" xfId="1" applyNumberFormat="1" applyFont="1" applyFill="1" applyBorder="1" applyAlignment="1">
      <alignment horizontal="center" vertical="center"/>
    </xf>
    <xf numFmtId="9" fontId="14" fillId="2" borderId="1" xfId="4" applyFont="1" applyFill="1" applyBorder="1" applyAlignment="1">
      <alignment horizontal="center" vertical="center"/>
    </xf>
    <xf numFmtId="165" fontId="14" fillId="2" borderId="1" xfId="4" applyNumberFormat="1" applyFont="1" applyFill="1" applyBorder="1" applyAlignment="1">
      <alignment horizontal="center" vertical="center"/>
    </xf>
    <xf numFmtId="166" fontId="14" fillId="2" borderId="1" xfId="1" applyNumberFormat="1" applyFont="1" applyFill="1" applyBorder="1" applyAlignment="1">
      <alignment horizontal="center" vertical="center"/>
    </xf>
    <xf numFmtId="167" fontId="14" fillId="2" borderId="1" xfId="1" applyNumberFormat="1" applyFont="1" applyFill="1" applyBorder="1" applyAlignment="1">
      <alignment horizontal="center" vertical="center"/>
    </xf>
    <xf numFmtId="167" fontId="12" fillId="3" borderId="1" xfId="1" applyNumberFormat="1" applyFont="1" applyFill="1" applyBorder="1" applyAlignment="1">
      <alignment horizontal="center" vertical="center"/>
    </xf>
    <xf numFmtId="2" fontId="14" fillId="2" borderId="1" xfId="1" applyNumberFormat="1" applyFont="1" applyFill="1" applyBorder="1" applyAlignment="1">
      <alignment horizontal="center" vertical="center"/>
    </xf>
    <xf numFmtId="166" fontId="12" fillId="3" borderId="1" xfId="1" applyNumberFormat="1" applyFont="1" applyFill="1" applyBorder="1" applyAlignment="1">
      <alignment horizontal="center" vertical="center"/>
    </xf>
    <xf numFmtId="3" fontId="13" fillId="3" borderId="3" xfId="1" applyNumberFormat="1" applyFont="1" applyFill="1" applyBorder="1" applyAlignment="1">
      <alignment horizontal="center" vertical="center" wrapText="1"/>
    </xf>
    <xf numFmtId="166" fontId="13" fillId="3" borderId="3" xfId="1" applyNumberFormat="1" applyFont="1" applyFill="1" applyBorder="1" applyAlignment="1">
      <alignment horizontal="center" vertical="center" wrapText="1"/>
    </xf>
    <xf numFmtId="3" fontId="13" fillId="3" borderId="1" xfId="1" applyNumberFormat="1" applyFont="1" applyFill="1" applyBorder="1" applyAlignment="1">
      <alignment horizontal="center" vertical="center" wrapText="1"/>
    </xf>
    <xf numFmtId="3" fontId="14" fillId="3" borderId="0" xfId="1" applyNumberFormat="1" applyFont="1" applyFill="1" applyBorder="1" applyAlignment="1">
      <alignment horizontal="center" vertical="center" wrapText="1"/>
    </xf>
    <xf numFmtId="3" fontId="14" fillId="3" borderId="0" xfId="1" applyNumberFormat="1" applyFont="1" applyFill="1" applyBorder="1" applyAlignment="1">
      <alignment horizontal="center" vertical="center"/>
    </xf>
    <xf numFmtId="3" fontId="14" fillId="2" borderId="0" xfId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top"/>
    </xf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0" applyFont="1" applyFill="1"/>
    <xf numFmtId="0" fontId="21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3" fontId="12" fillId="8" borderId="1" xfId="1" applyNumberFormat="1" applyFont="1" applyFill="1" applyBorder="1" applyAlignment="1">
      <alignment horizontal="center" vertical="center"/>
    </xf>
    <xf numFmtId="3" fontId="13" fillId="7" borderId="1" xfId="1" applyNumberFormat="1" applyFont="1" applyFill="1" applyBorder="1" applyAlignment="1">
      <alignment horizontal="center" vertical="center"/>
    </xf>
    <xf numFmtId="4" fontId="13" fillId="7" borderId="1" xfId="1" applyNumberFormat="1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9" fontId="12" fillId="8" borderId="1" xfId="4" applyFont="1" applyFill="1" applyBorder="1" applyAlignment="1">
      <alignment horizontal="center" vertical="center"/>
    </xf>
    <xf numFmtId="9" fontId="23" fillId="8" borderId="1" xfId="4" applyFont="1" applyFill="1" applyBorder="1" applyAlignment="1">
      <alignment horizontal="center" vertical="center"/>
    </xf>
    <xf numFmtId="9" fontId="23" fillId="3" borderId="1" xfId="4" applyFont="1" applyFill="1" applyBorder="1" applyAlignment="1">
      <alignment horizontal="center" vertical="center"/>
    </xf>
    <xf numFmtId="9" fontId="13" fillId="7" borderId="1" xfId="4" applyFont="1" applyFill="1" applyBorder="1" applyAlignment="1">
      <alignment horizontal="center" vertical="center"/>
    </xf>
    <xf numFmtId="9" fontId="12" fillId="3" borderId="1" xfId="4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9" fontId="24" fillId="2" borderId="1" xfId="4" applyFont="1" applyFill="1" applyBorder="1" applyAlignment="1">
      <alignment horizontal="center" vertical="center"/>
    </xf>
    <xf numFmtId="3" fontId="12" fillId="8" borderId="1" xfId="0" applyNumberFormat="1" applyFont="1" applyFill="1" applyBorder="1" applyAlignment="1">
      <alignment horizontal="center" vertical="center" wrapText="1"/>
    </xf>
    <xf numFmtId="165" fontId="12" fillId="8" borderId="1" xfId="4" applyNumberFormat="1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 wrapText="1"/>
    </xf>
    <xf numFmtId="166" fontId="12" fillId="8" borderId="1" xfId="1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9" fontId="12" fillId="3" borderId="3" xfId="4" applyFont="1" applyFill="1" applyBorder="1" applyAlignment="1">
      <alignment horizontal="center" vertical="center"/>
    </xf>
    <xf numFmtId="167" fontId="12" fillId="8" borderId="1" xfId="1" applyNumberFormat="1" applyFont="1" applyFill="1" applyBorder="1" applyAlignment="1">
      <alignment horizontal="center" vertical="center"/>
    </xf>
    <xf numFmtId="167" fontId="26" fillId="4" borderId="2" xfId="1" applyNumberFormat="1" applyFont="1" applyFill="1" applyBorder="1" applyAlignment="1">
      <alignment horizontal="center" vertical="center" wrapText="1"/>
    </xf>
    <xf numFmtId="167" fontId="26" fillId="4" borderId="0" xfId="1" applyNumberFormat="1" applyFont="1" applyFill="1" applyBorder="1" applyAlignment="1">
      <alignment horizontal="center" vertical="center" wrapText="1"/>
    </xf>
    <xf numFmtId="167" fontId="12" fillId="8" borderId="4" xfId="1" applyNumberFormat="1" applyFont="1" applyFill="1" applyBorder="1" applyAlignment="1">
      <alignment horizontal="center" vertical="center" wrapText="1"/>
    </xf>
    <xf numFmtId="167" fontId="12" fillId="8" borderId="4" xfId="1" applyNumberFormat="1" applyFont="1" applyFill="1" applyBorder="1" applyAlignment="1">
      <alignment horizontal="center" vertical="center"/>
    </xf>
    <xf numFmtId="167" fontId="12" fillId="8" borderId="1" xfId="1" applyNumberFormat="1" applyFont="1" applyFill="1" applyBorder="1" applyAlignment="1">
      <alignment horizontal="center" vertical="center" wrapText="1"/>
    </xf>
    <xf numFmtId="167" fontId="12" fillId="8" borderId="3" xfId="1" applyNumberFormat="1" applyFont="1" applyFill="1" applyBorder="1" applyAlignment="1">
      <alignment horizontal="center" vertical="center" wrapText="1"/>
    </xf>
    <xf numFmtId="167" fontId="12" fillId="8" borderId="3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167" fontId="4" fillId="3" borderId="0" xfId="0" applyNumberFormat="1" applyFont="1" applyFill="1"/>
    <xf numFmtId="0" fontId="28" fillId="0" borderId="0" xfId="0" applyFont="1" applyAlignment="1">
      <alignment horizontal="left" vertical="center" readingOrder="1"/>
    </xf>
    <xf numFmtId="0" fontId="29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9" fontId="4" fillId="0" borderId="0" xfId="4" applyFont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3" fontId="33" fillId="2" borderId="2" xfId="1" applyNumberFormat="1" applyFont="1" applyFill="1" applyBorder="1" applyAlignment="1">
      <alignment horizontal="center" vertical="center"/>
    </xf>
    <xf numFmtId="3" fontId="0" fillId="0" borderId="0" xfId="0" applyNumberFormat="1"/>
    <xf numFmtId="165" fontId="0" fillId="0" borderId="0" xfId="4" applyNumberFormat="1" applyFont="1"/>
    <xf numFmtId="0" fontId="4" fillId="8" borderId="1" xfId="0" applyFont="1" applyFill="1" applyBorder="1" applyAlignment="1">
      <alignment horizontal="center" vertical="center" wrapText="1"/>
    </xf>
    <xf numFmtId="3" fontId="4" fillId="3" borderId="1" xfId="1" applyNumberFormat="1" applyFont="1" applyFill="1" applyBorder="1" applyAlignment="1">
      <alignment horizontal="center" vertical="center"/>
    </xf>
    <xf numFmtId="3" fontId="34" fillId="7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3" fontId="35" fillId="2" borderId="1" xfId="1" applyNumberFormat="1" applyFont="1" applyFill="1" applyBorder="1" applyAlignment="1">
      <alignment horizontal="center" vertical="center"/>
    </xf>
    <xf numFmtId="3" fontId="4" fillId="8" borderId="1" xfId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6" fillId="6" borderId="9" xfId="0" applyFont="1" applyFill="1" applyBorder="1" applyAlignment="1">
      <alignment horizontal="center" vertical="center" wrapText="1" readingOrder="1"/>
    </xf>
    <xf numFmtId="3" fontId="34" fillId="3" borderId="3" xfId="1" applyNumberFormat="1" applyFont="1" applyFill="1" applyBorder="1" applyAlignment="1">
      <alignment horizontal="center" vertical="center" wrapText="1"/>
    </xf>
    <xf numFmtId="167" fontId="4" fillId="8" borderId="4" xfId="1" applyNumberFormat="1" applyFont="1" applyFill="1" applyBorder="1" applyAlignment="1">
      <alignment horizontal="center" vertical="center" wrapText="1"/>
    </xf>
    <xf numFmtId="167" fontId="4" fillId="8" borderId="1" xfId="1" applyNumberFormat="1" applyFont="1" applyFill="1" applyBorder="1" applyAlignment="1">
      <alignment horizontal="center" vertical="center" wrapText="1"/>
    </xf>
    <xf numFmtId="167" fontId="4" fillId="8" borderId="3" xfId="1" applyNumberFormat="1" applyFont="1" applyFill="1" applyBorder="1" applyAlignment="1">
      <alignment horizontal="center" vertical="center" wrapText="1"/>
    </xf>
    <xf numFmtId="0" fontId="32" fillId="8" borderId="5" xfId="0" applyFont="1" applyFill="1" applyBorder="1" applyAlignment="1">
      <alignment horizontal="center" vertical="center" wrapText="1"/>
    </xf>
    <xf numFmtId="0" fontId="32" fillId="8" borderId="6" xfId="0" applyFont="1" applyFill="1" applyBorder="1" applyAlignment="1">
      <alignment horizontal="center" vertical="center" wrapText="1"/>
    </xf>
    <xf numFmtId="0" fontId="32" fillId="8" borderId="7" xfId="0" applyFont="1" applyFill="1" applyBorder="1" applyAlignment="1">
      <alignment horizontal="center" vertical="center" wrapText="1"/>
    </xf>
    <xf numFmtId="0" fontId="31" fillId="3" borderId="5" xfId="0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31" fillId="3" borderId="7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center" vertical="center" wrapText="1"/>
    </xf>
    <xf numFmtId="0" fontId="31" fillId="5" borderId="6" xfId="0" applyFont="1" applyFill="1" applyBorder="1" applyAlignment="1">
      <alignment horizontal="center" vertical="center" wrapText="1"/>
    </xf>
    <xf numFmtId="0" fontId="31" fillId="5" borderId="7" xfId="0" applyFont="1" applyFill="1" applyBorder="1" applyAlignment="1">
      <alignment horizontal="center" vertical="center" wrapText="1"/>
    </xf>
    <xf numFmtId="0" fontId="31" fillId="7" borderId="5" xfId="0" applyFont="1" applyFill="1" applyBorder="1" applyAlignment="1">
      <alignment horizontal="center" vertical="center" wrapText="1"/>
    </xf>
    <xf numFmtId="0" fontId="31" fillId="7" borderId="6" xfId="0" applyFont="1" applyFill="1" applyBorder="1" applyAlignment="1">
      <alignment horizontal="center" vertical="center" wrapText="1"/>
    </xf>
    <xf numFmtId="0" fontId="31" fillId="7" borderId="7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2" fillId="3" borderId="5" xfId="0" applyFont="1" applyFill="1" applyBorder="1" applyAlignment="1">
      <alignment horizontal="center" vertical="center" wrapText="1"/>
    </xf>
    <xf numFmtId="0" fontId="32" fillId="3" borderId="6" xfId="0" applyFont="1" applyFill="1" applyBorder="1" applyAlignment="1">
      <alignment horizontal="center" vertical="center" wrapText="1"/>
    </xf>
    <xf numFmtId="0" fontId="32" fillId="3" borderId="7" xfId="0" applyFont="1" applyFill="1" applyBorder="1" applyAlignment="1">
      <alignment horizontal="center" vertical="center" wrapText="1"/>
    </xf>
  </cellXfs>
  <cellStyles count="6">
    <cellStyle name="Millares" xfId="1" builtinId="3"/>
    <cellStyle name="Millares 2" xfId="5" xr:uid="{42843BED-CB10-4541-B391-60C947E76D6B}"/>
    <cellStyle name="Normal" xfId="0" builtinId="0"/>
    <cellStyle name="Normal 2" xfId="3" xr:uid="{D15C8645-11BA-467D-9968-785D0DF65F9F}"/>
    <cellStyle name="Normal 3" xfId="2" xr:uid="{1799D945-0DF7-4F32-8BA4-E426407C2008}"/>
    <cellStyle name="Porcentaje" xfId="4" builtinId="5"/>
  </cellStyles>
  <dxfs count="0"/>
  <tableStyles count="1" defaultTableStyle="TableStyleMedium2" defaultPivotStyle="PivotStyleLight16">
    <tableStyle name="Invisible" pivot="0" table="0" count="0" xr9:uid="{06A79ABF-173E-4731-B0A1-03702AF67B99}"/>
  </tableStyles>
  <colors>
    <mruColors>
      <color rgb="FFFDF1F2"/>
      <color rgb="FFF075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CAMMESA Oficial">
      <a:dk1>
        <a:srgbClr val="000000"/>
      </a:dk1>
      <a:lt1>
        <a:srgbClr val="FFFFFF"/>
      </a:lt1>
      <a:dk2>
        <a:srgbClr val="002C7A"/>
      </a:dk2>
      <a:lt2>
        <a:srgbClr val="F7F7F7"/>
      </a:lt2>
      <a:accent1>
        <a:srgbClr val="E23348"/>
      </a:accent1>
      <a:accent2>
        <a:srgbClr val="74A0D2"/>
      </a:accent2>
      <a:accent3>
        <a:srgbClr val="51B37F"/>
      </a:accent3>
      <a:accent4>
        <a:srgbClr val="59D299"/>
      </a:accent4>
      <a:accent5>
        <a:srgbClr val="D3E8EF"/>
      </a:accent5>
      <a:accent6>
        <a:srgbClr val="676866"/>
      </a:accent6>
      <a:hlink>
        <a:srgbClr val="0000FF"/>
      </a:hlink>
      <a:folHlink>
        <a:srgbClr val="800080"/>
      </a:folHlink>
    </a:clrScheme>
    <a:fontScheme name="CAMMESA">
      <a:majorFont>
        <a:latin typeface="Proxima Nova Bl"/>
        <a:ea typeface=""/>
        <a:cs typeface=""/>
      </a:majorFont>
      <a:minorFont>
        <a:latin typeface="Proxima Nova Rg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7E08-6382-47CA-BBCB-EB6FFD41A174}">
  <dimension ref="A1:AC180"/>
  <sheetViews>
    <sheetView tabSelected="1" zoomScaleNormal="100" workbookViewId="0">
      <pane xSplit="3" ySplit="4" topLeftCell="X61" activePane="bottomRight" state="frozen"/>
      <selection pane="topRight" activeCell="D1" sqref="D1"/>
      <selection pane="bottomLeft" activeCell="A5" sqref="A5"/>
      <selection pane="bottomRight" activeCell="AA78" sqref="AA78"/>
    </sheetView>
  </sheetViews>
  <sheetFormatPr baseColWidth="10" defaultRowHeight="15" x14ac:dyDescent="0.25"/>
  <cols>
    <col min="1" max="1" width="17.77734375" style="5" customWidth="1"/>
    <col min="2" max="2" width="17.77734375" style="64" customWidth="1"/>
    <col min="3" max="3" width="19.5546875" style="5" customWidth="1"/>
    <col min="4" max="4" width="20.21875" style="8" customWidth="1"/>
    <col min="5" max="5" width="15.109375" style="5" customWidth="1"/>
    <col min="6" max="18" width="11.5546875" style="5" customWidth="1"/>
    <col min="19" max="19" width="15.109375" style="5" customWidth="1"/>
    <col min="20" max="25" width="14.6640625" style="5" customWidth="1"/>
    <col min="26" max="26" width="8.44140625" bestFit="1" customWidth="1"/>
  </cols>
  <sheetData>
    <row r="1" spans="1:29" ht="27" x14ac:dyDescent="0.45">
      <c r="A1" s="28" t="s">
        <v>78</v>
      </c>
      <c r="B1" s="28"/>
      <c r="C1" s="29"/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9" ht="27" x14ac:dyDescent="0.35">
      <c r="A2" s="28" t="s">
        <v>120</v>
      </c>
      <c r="B2" s="31"/>
      <c r="C2" s="32"/>
      <c r="D2" s="3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9" ht="21" x14ac:dyDescent="0.25">
      <c r="A3" s="2"/>
      <c r="B3" s="34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9" ht="19.5" x14ac:dyDescent="0.25">
      <c r="A4" s="35"/>
      <c r="B4" s="36"/>
      <c r="C4" s="35"/>
      <c r="D4" s="11" t="s">
        <v>15</v>
      </c>
      <c r="E4" s="11">
        <v>2005</v>
      </c>
      <c r="F4" s="11">
        <v>2006</v>
      </c>
      <c r="G4" s="11">
        <v>2007</v>
      </c>
      <c r="H4" s="11">
        <v>2008</v>
      </c>
      <c r="I4" s="11">
        <v>2009</v>
      </c>
      <c r="J4" s="11">
        <v>2010</v>
      </c>
      <c r="K4" s="11">
        <v>2011</v>
      </c>
      <c r="L4" s="11">
        <v>2012</v>
      </c>
      <c r="M4" s="11">
        <v>2013</v>
      </c>
      <c r="N4" s="11">
        <v>2014</v>
      </c>
      <c r="O4" s="11">
        <v>2015</v>
      </c>
      <c r="P4" s="11">
        <v>2016</v>
      </c>
      <c r="Q4" s="11">
        <v>2017</v>
      </c>
      <c r="R4" s="11">
        <v>2018</v>
      </c>
      <c r="S4" s="11">
        <v>2019</v>
      </c>
      <c r="T4" s="11">
        <v>2020</v>
      </c>
      <c r="U4" s="11">
        <v>2021</v>
      </c>
      <c r="V4" s="11">
        <v>2022</v>
      </c>
      <c r="W4" s="11">
        <v>2023</v>
      </c>
      <c r="X4" s="11">
        <v>2024</v>
      </c>
      <c r="Y4" s="11">
        <v>2025</v>
      </c>
    </row>
    <row r="5" spans="1:29" ht="14.25" customHeight="1" x14ac:dyDescent="0.25">
      <c r="A5" s="103" t="s">
        <v>20</v>
      </c>
      <c r="B5" s="41"/>
      <c r="C5" s="37" t="s">
        <v>25</v>
      </c>
      <c r="D5" s="80" t="s">
        <v>2</v>
      </c>
      <c r="E5" s="38">
        <v>31531.671586559598</v>
      </c>
      <c r="F5" s="38">
        <v>33373.357025021185</v>
      </c>
      <c r="G5" s="38">
        <v>37338.781369672244</v>
      </c>
      <c r="H5" s="38">
        <v>39113.945240197339</v>
      </c>
      <c r="I5" s="38">
        <v>40121.61634719545</v>
      </c>
      <c r="J5" s="38">
        <v>42880.633620000001</v>
      </c>
      <c r="K5" s="38">
        <v>44879.490528000009</v>
      </c>
      <c r="L5" s="38">
        <v>47721.682433000009</v>
      </c>
      <c r="M5" s="38">
        <v>50381.374954999941</v>
      </c>
      <c r="N5" s="38">
        <v>51444.141257999996</v>
      </c>
      <c r="O5" s="38">
        <v>55424.497936000007</v>
      </c>
      <c r="P5" s="38">
        <v>57067.277429000103</v>
      </c>
      <c r="Q5" s="38">
        <v>55906.996237999985</v>
      </c>
      <c r="R5" s="38">
        <v>57017.007069000007</v>
      </c>
      <c r="S5" s="38">
        <v>55528.670565999993</v>
      </c>
      <c r="T5" s="38">
        <v>60021.332805999991</v>
      </c>
      <c r="U5" s="38">
        <v>60785.862307000025</v>
      </c>
      <c r="V5" s="38">
        <v>63156.982705000089</v>
      </c>
      <c r="W5" s="38">
        <v>65302.674133000088</v>
      </c>
      <c r="X5" s="38">
        <v>65590.737858000008</v>
      </c>
      <c r="Y5" s="38">
        <v>66387.961846999999</v>
      </c>
      <c r="Z5" s="79"/>
    </row>
    <row r="6" spans="1:29" ht="14.25" customHeight="1" x14ac:dyDescent="0.25">
      <c r="A6" s="104"/>
      <c r="B6" s="41"/>
      <c r="C6" s="37" t="s">
        <v>26</v>
      </c>
      <c r="D6" s="80" t="s">
        <v>2</v>
      </c>
      <c r="E6" s="38">
        <v>26781.222721106198</v>
      </c>
      <c r="F6" s="38">
        <v>28414.881027317817</v>
      </c>
      <c r="G6" s="38">
        <v>30049.85687698127</v>
      </c>
      <c r="H6" s="38">
        <v>31386.701824640866</v>
      </c>
      <c r="I6" s="38">
        <v>32361.268897408245</v>
      </c>
      <c r="J6" s="38">
        <v>33754.546433162555</v>
      </c>
      <c r="K6" s="38">
        <v>35654.685775508333</v>
      </c>
      <c r="L6" s="38">
        <v>37696.180248499368</v>
      </c>
      <c r="M6" s="38">
        <v>35937.807186999955</v>
      </c>
      <c r="N6" s="38">
        <v>35994.917810999999</v>
      </c>
      <c r="O6" s="38">
        <v>37351.093336000005</v>
      </c>
      <c r="P6" s="38">
        <v>38540.865101000018</v>
      </c>
      <c r="Q6" s="38">
        <v>38367.434938999999</v>
      </c>
      <c r="R6" s="38">
        <v>38228.900633999998</v>
      </c>
      <c r="S6" s="38">
        <v>37027.570021</v>
      </c>
      <c r="T6" s="38">
        <v>35073.941553999997</v>
      </c>
      <c r="U6" s="38">
        <v>36640.130109000042</v>
      </c>
      <c r="V6" s="38">
        <v>38520.071071000042</v>
      </c>
      <c r="W6" s="38">
        <v>38906.994317999939</v>
      </c>
      <c r="X6" s="38">
        <v>38424.28650100001</v>
      </c>
      <c r="Y6" s="38">
        <v>38498.263099000003</v>
      </c>
      <c r="Z6" s="79"/>
    </row>
    <row r="7" spans="1:29" ht="14.25" customHeight="1" x14ac:dyDescent="0.25">
      <c r="A7" s="104"/>
      <c r="B7" s="41"/>
      <c r="C7" s="12" t="s">
        <v>121</v>
      </c>
      <c r="D7" s="81" t="s">
        <v>2</v>
      </c>
      <c r="E7" s="13">
        <v>11389.00935533415</v>
      </c>
      <c r="F7" s="13">
        <v>12309.184486661001</v>
      </c>
      <c r="G7" s="13">
        <v>13233.9935613465</v>
      </c>
      <c r="H7" s="13">
        <v>11173.4676501618</v>
      </c>
      <c r="I7" s="13">
        <v>9725.3362853963808</v>
      </c>
      <c r="J7" s="13">
        <v>10940.8569708375</v>
      </c>
      <c r="K7" s="13">
        <v>10663.901119491562</v>
      </c>
      <c r="L7" s="13">
        <v>9849.5453035005994</v>
      </c>
      <c r="M7" s="13">
        <v>12426.308109</v>
      </c>
      <c r="N7" s="13">
        <v>13036.417325999937</v>
      </c>
      <c r="O7" s="13">
        <v>13555.377220000031</v>
      </c>
      <c r="P7" s="13">
        <v>13356.567538000134</v>
      </c>
      <c r="Q7" s="13">
        <v>13328.420577999925</v>
      </c>
      <c r="R7" s="13">
        <v>13244.476531000044</v>
      </c>
      <c r="S7" s="13">
        <v>12843.750190000001</v>
      </c>
      <c r="T7" s="13">
        <v>11473.978968000003</v>
      </c>
      <c r="U7" s="13">
        <v>13025.882944999983</v>
      </c>
      <c r="V7" s="13">
        <v>13604.075093999998</v>
      </c>
      <c r="W7" s="13">
        <v>13289.577693000001</v>
      </c>
      <c r="X7" s="13">
        <v>12908.474538999999</v>
      </c>
      <c r="Y7" s="13">
        <v>12530.086836</v>
      </c>
      <c r="Z7" s="79"/>
    </row>
    <row r="8" spans="1:29" ht="14.25" customHeight="1" x14ac:dyDescent="0.25">
      <c r="A8" s="104"/>
      <c r="B8" s="41" t="s">
        <v>20</v>
      </c>
      <c r="C8" s="12" t="s">
        <v>122</v>
      </c>
      <c r="D8" s="81" t="s">
        <v>2</v>
      </c>
      <c r="E8" s="13">
        <v>22685.568337000041</v>
      </c>
      <c r="F8" s="13">
        <v>23497.577461000001</v>
      </c>
      <c r="G8" s="13">
        <v>22346.368192000002</v>
      </c>
      <c r="H8" s="13">
        <v>24302.528522000001</v>
      </c>
      <c r="I8" s="13">
        <v>22448.4791149999</v>
      </c>
      <c r="J8" s="13">
        <v>23199.640383999998</v>
      </c>
      <c r="K8" s="13">
        <v>25308.877527000073</v>
      </c>
      <c r="L8" s="13">
        <v>25924.718311000011</v>
      </c>
      <c r="M8" s="13">
        <v>26493.055974999999</v>
      </c>
      <c r="N8" s="13">
        <v>25991.603610000049</v>
      </c>
      <c r="O8" s="13">
        <v>25778.650813999971</v>
      </c>
      <c r="P8" s="13">
        <v>24146.08455699998</v>
      </c>
      <c r="Q8" s="13">
        <v>24927.367877000062</v>
      </c>
      <c r="R8" s="13">
        <v>24519.540198999952</v>
      </c>
      <c r="S8" s="13">
        <v>23546.067239</v>
      </c>
      <c r="T8" s="13">
        <v>20737.684522999996</v>
      </c>
      <c r="U8" s="13">
        <v>23425.611151999954</v>
      </c>
      <c r="V8" s="13">
        <v>23494.104534000024</v>
      </c>
      <c r="W8" s="13">
        <v>23384.532809999982</v>
      </c>
      <c r="X8" s="13">
        <v>23295.901887000004</v>
      </c>
      <c r="Y8" s="13">
        <v>23832.837056999986</v>
      </c>
      <c r="Z8" s="79"/>
    </row>
    <row r="9" spans="1:29" ht="14.25" customHeight="1" x14ac:dyDescent="0.25">
      <c r="A9" s="104"/>
      <c r="B9" s="41"/>
      <c r="C9" s="37" t="s">
        <v>80</v>
      </c>
      <c r="D9" s="80" t="s">
        <v>2</v>
      </c>
      <c r="E9" s="38">
        <v>34074.577692334191</v>
      </c>
      <c r="F9" s="38">
        <v>35806.761947660998</v>
      </c>
      <c r="G9" s="38">
        <v>35580.3617533465</v>
      </c>
      <c r="H9" s="38">
        <v>35475.996172161802</v>
      </c>
      <c r="I9" s="38">
        <v>32173.815400396281</v>
      </c>
      <c r="J9" s="38">
        <v>34140.497354837498</v>
      </c>
      <c r="K9" s="38">
        <v>35972.778646491635</v>
      </c>
      <c r="L9" s="38">
        <v>35774.263614500611</v>
      </c>
      <c r="M9" s="38">
        <v>38919.364084000001</v>
      </c>
      <c r="N9" s="38">
        <v>39028.020935999986</v>
      </c>
      <c r="O9" s="38">
        <v>39334.028034000003</v>
      </c>
      <c r="P9" s="38">
        <v>37502.652095000114</v>
      </c>
      <c r="Q9" s="38">
        <v>38255.788454999987</v>
      </c>
      <c r="R9" s="38">
        <v>37764.016729999996</v>
      </c>
      <c r="S9" s="38">
        <v>36389.817429000002</v>
      </c>
      <c r="T9" s="38">
        <v>32211.663490999999</v>
      </c>
      <c r="U9" s="38">
        <v>36451.494096999937</v>
      </c>
      <c r="V9" s="38">
        <v>37098.17962800002</v>
      </c>
      <c r="W9" s="38">
        <v>36674.110502999982</v>
      </c>
      <c r="X9" s="38">
        <f>+SUM(X7:X8)</f>
        <v>36204.376426000003</v>
      </c>
      <c r="Y9" s="38">
        <f>+SUM(Y7:Y8)</f>
        <v>36362.923892999985</v>
      </c>
      <c r="Z9" s="79"/>
    </row>
    <row r="10" spans="1:29" ht="14.25" customHeight="1" x14ac:dyDescent="0.25">
      <c r="A10" s="104"/>
      <c r="B10" s="41" t="s">
        <v>123</v>
      </c>
      <c r="C10" s="39" t="s">
        <v>13</v>
      </c>
      <c r="D10" s="82" t="s">
        <v>2</v>
      </c>
      <c r="E10" s="39">
        <v>92387.47199999998</v>
      </c>
      <c r="F10" s="39">
        <v>97595</v>
      </c>
      <c r="G10" s="39">
        <v>102969.00000000001</v>
      </c>
      <c r="H10" s="39">
        <v>105976.64323700001</v>
      </c>
      <c r="I10" s="39">
        <v>104656.70064499998</v>
      </c>
      <c r="J10" s="39">
        <v>110775.67740800005</v>
      </c>
      <c r="K10" s="39">
        <v>116506.95494999997</v>
      </c>
      <c r="L10" s="39">
        <v>121192.12629599999</v>
      </c>
      <c r="M10" s="39">
        <v>125238.54622599989</v>
      </c>
      <c r="N10" s="39">
        <v>126467.08000499997</v>
      </c>
      <c r="O10" s="39">
        <v>132109.61930600001</v>
      </c>
      <c r="P10" s="39">
        <v>133110.79462500024</v>
      </c>
      <c r="Q10" s="39">
        <v>132530.21963199996</v>
      </c>
      <c r="R10" s="39">
        <v>133009.92443300001</v>
      </c>
      <c r="S10" s="39">
        <v>128946.058016</v>
      </c>
      <c r="T10" s="39">
        <v>127306.937851</v>
      </c>
      <c r="U10" s="39">
        <v>133877.48651300001</v>
      </c>
      <c r="V10" s="39">
        <v>138775.23340400014</v>
      </c>
      <c r="W10" s="40">
        <v>140883.77895400001</v>
      </c>
      <c r="X10" s="39">
        <f>+X9+X6+X5</f>
        <v>140219.40078500001</v>
      </c>
      <c r="Y10" s="39">
        <f>+Y9+Y6+Y5</f>
        <v>141249.14883899997</v>
      </c>
      <c r="Z10" s="79"/>
    </row>
    <row r="11" spans="1:29" ht="14.25" customHeight="1" x14ac:dyDescent="0.25">
      <c r="A11" s="104"/>
      <c r="B11" s="41" t="s">
        <v>2</v>
      </c>
      <c r="C11" s="12" t="s">
        <v>27</v>
      </c>
      <c r="D11" s="83" t="s">
        <v>2</v>
      </c>
      <c r="E11" s="13">
        <v>1361.7700720000003</v>
      </c>
      <c r="F11" s="13">
        <v>2099.8471229999996</v>
      </c>
      <c r="G11" s="13">
        <v>577.70791999999983</v>
      </c>
      <c r="H11" s="13">
        <v>1618.4803210000002</v>
      </c>
      <c r="I11" s="13">
        <v>1292.1252629999999</v>
      </c>
      <c r="J11" s="13">
        <v>361.45478400000002</v>
      </c>
      <c r="K11" s="13">
        <v>264.93749000000003</v>
      </c>
      <c r="L11" s="13">
        <v>279.59211599999998</v>
      </c>
      <c r="M11" s="13">
        <v>0.43872299999999997</v>
      </c>
      <c r="N11" s="13">
        <v>5.6859900000000003</v>
      </c>
      <c r="O11" s="13">
        <v>55.420548000000004</v>
      </c>
      <c r="P11" s="13">
        <v>327.23183699999998</v>
      </c>
      <c r="Q11" s="13">
        <v>69.226651000000004</v>
      </c>
      <c r="R11" s="13">
        <v>280.30169200000006</v>
      </c>
      <c r="S11" s="13">
        <v>261.18201599999998</v>
      </c>
      <c r="T11" s="13">
        <v>3088.9200780000001</v>
      </c>
      <c r="U11" s="13">
        <v>3849.8440589999823</v>
      </c>
      <c r="V11" s="13">
        <v>31.271412000000002</v>
      </c>
      <c r="W11" s="13">
        <v>97.704922999999894</v>
      </c>
      <c r="X11" s="13">
        <v>970.10048599999993</v>
      </c>
      <c r="Y11" s="13">
        <v>508.5871709999999</v>
      </c>
      <c r="Z11" s="79"/>
    </row>
    <row r="12" spans="1:29" ht="14.25" customHeight="1" x14ac:dyDescent="0.25">
      <c r="A12" s="104"/>
      <c r="B12" s="41"/>
      <c r="C12" s="12" t="s">
        <v>124</v>
      </c>
      <c r="D12" s="83" t="s">
        <v>2</v>
      </c>
      <c r="E12" s="13">
        <v>432</v>
      </c>
      <c r="F12" s="13">
        <v>348</v>
      </c>
      <c r="G12" s="13">
        <v>571</v>
      </c>
      <c r="H12" s="13">
        <v>536.53222400000004</v>
      </c>
      <c r="I12" s="13">
        <v>714.23281900000006</v>
      </c>
      <c r="J12" s="13">
        <v>554.20955200000003</v>
      </c>
      <c r="K12" s="13">
        <v>566.20109100000002</v>
      </c>
      <c r="L12" s="13">
        <v>722.76411599999994</v>
      </c>
      <c r="M12" s="13">
        <v>499.68922900000001</v>
      </c>
      <c r="N12" s="13">
        <v>485.18030300000004</v>
      </c>
      <c r="O12" s="13">
        <v>578.11232400000006</v>
      </c>
      <c r="P12" s="13">
        <v>464.75569000000002</v>
      </c>
      <c r="Q12" s="13">
        <v>400.69981999999993</v>
      </c>
      <c r="R12" s="13">
        <v>282.45533699999999</v>
      </c>
      <c r="S12" s="13">
        <v>409.29238199999992</v>
      </c>
      <c r="T12" s="13">
        <v>587.61080000000004</v>
      </c>
      <c r="U12" s="13">
        <v>536.43819200000371</v>
      </c>
      <c r="V12" s="13">
        <v>809.90946500000211</v>
      </c>
      <c r="W12" s="13">
        <v>817.70080299999995</v>
      </c>
      <c r="X12" s="13">
        <v>545.38538000000005</v>
      </c>
      <c r="Y12" s="13">
        <v>522.03</v>
      </c>
      <c r="Z12" s="79"/>
    </row>
    <row r="13" spans="1:29" ht="14.25" customHeight="1" x14ac:dyDescent="0.25">
      <c r="A13" s="104"/>
      <c r="B13" s="41"/>
      <c r="C13" s="12" t="s">
        <v>125</v>
      </c>
      <c r="D13" s="83" t="s">
        <v>2</v>
      </c>
      <c r="E13" s="13">
        <v>3978.7222120000215</v>
      </c>
      <c r="F13" s="13">
        <v>4584.4267409999884</v>
      </c>
      <c r="G13" s="13">
        <v>4364.3112819999815</v>
      </c>
      <c r="H13" s="13">
        <v>4250.6860620000134</v>
      </c>
      <c r="I13" s="13">
        <v>4226.3869920000352</v>
      </c>
      <c r="J13" s="13">
        <v>4043.8745879999497</v>
      </c>
      <c r="K13" s="13">
        <v>3895.7560150000854</v>
      </c>
      <c r="L13" s="13">
        <v>3532.612553000034</v>
      </c>
      <c r="M13" s="13">
        <v>4081.768958000112</v>
      </c>
      <c r="N13" s="13">
        <v>4245.5288280000668</v>
      </c>
      <c r="O13" s="13">
        <v>4127.3307139999924</v>
      </c>
      <c r="P13" s="13">
        <v>4166.7878219997701</v>
      </c>
      <c r="Q13" s="13">
        <v>4198.4358390000552</v>
      </c>
      <c r="R13" s="13">
        <v>4252.6892399999779</v>
      </c>
      <c r="S13" s="13">
        <v>4376.3840929999924</v>
      </c>
      <c r="T13" s="13">
        <v>4397.0512999999237</v>
      </c>
      <c r="U13" s="13">
        <v>4352.1949629999954</v>
      </c>
      <c r="V13" s="13">
        <v>5440.1770039999892</v>
      </c>
      <c r="W13" s="13">
        <v>5842.4833510000026</v>
      </c>
      <c r="X13" s="13">
        <v>5056.8753849999921</v>
      </c>
      <c r="Y13" s="13">
        <v>4812.7877619999999</v>
      </c>
      <c r="Z13" s="79"/>
    </row>
    <row r="14" spans="1:29" ht="14.25" customHeight="1" x14ac:dyDescent="0.25">
      <c r="A14" s="104"/>
      <c r="B14" s="41"/>
      <c r="C14" s="14" t="s">
        <v>126</v>
      </c>
      <c r="D14" s="84" t="s">
        <v>2</v>
      </c>
      <c r="E14" s="27">
        <v>98159.964284000001</v>
      </c>
      <c r="F14" s="27">
        <v>104627.27386399999</v>
      </c>
      <c r="G14" s="27">
        <v>108482.019202</v>
      </c>
      <c r="H14" s="27">
        <v>112382.34184400001</v>
      </c>
      <c r="I14" s="27">
        <v>110889.445719</v>
      </c>
      <c r="J14" s="27">
        <v>115735.216332</v>
      </c>
      <c r="K14" s="27">
        <v>121233.84954600004</v>
      </c>
      <c r="L14" s="27">
        <v>125727.09508100002</v>
      </c>
      <c r="M14" s="27">
        <v>129820.443136</v>
      </c>
      <c r="N14" s="27">
        <v>131203.47512600003</v>
      </c>
      <c r="O14" s="27">
        <v>136870.48289199997</v>
      </c>
      <c r="P14" s="27">
        <v>138069.56997400001</v>
      </c>
      <c r="Q14" s="27">
        <v>137198.58194200002</v>
      </c>
      <c r="R14" s="27">
        <v>137825.37070199999</v>
      </c>
      <c r="S14" s="27">
        <v>133992.91650699999</v>
      </c>
      <c r="T14" s="27">
        <v>135380.52002899992</v>
      </c>
      <c r="U14" s="27">
        <v>142615.96372699999</v>
      </c>
      <c r="V14" s="27">
        <v>145056.59128500015</v>
      </c>
      <c r="W14" s="14">
        <v>147641.66803100004</v>
      </c>
      <c r="X14" s="14">
        <v>146791.69963400016</v>
      </c>
      <c r="Y14" s="14">
        <f>SUM(Y10:Y13)</f>
        <v>147092.55377199996</v>
      </c>
      <c r="Z14" s="79"/>
      <c r="AA14" s="78"/>
      <c r="AB14" s="78"/>
      <c r="AC14" s="78"/>
    </row>
    <row r="15" spans="1:29" ht="14.25" customHeight="1" x14ac:dyDescent="0.25">
      <c r="A15" s="104"/>
      <c r="B15" s="41" t="s">
        <v>96</v>
      </c>
      <c r="C15" s="14" t="s">
        <v>3</v>
      </c>
      <c r="D15" s="84" t="s">
        <v>1</v>
      </c>
      <c r="E15" s="14">
        <v>16718</v>
      </c>
      <c r="F15" s="14">
        <v>17395</v>
      </c>
      <c r="G15" s="14">
        <v>18345</v>
      </c>
      <c r="H15" s="14">
        <v>19126</v>
      </c>
      <c r="I15" s="14">
        <v>19566</v>
      </c>
      <c r="J15" s="14">
        <v>20843</v>
      </c>
      <c r="K15" s="14">
        <v>21564</v>
      </c>
      <c r="L15" s="14">
        <v>21949</v>
      </c>
      <c r="M15" s="14">
        <v>23794</v>
      </c>
      <c r="N15" s="14">
        <v>24034</v>
      </c>
      <c r="O15" s="14">
        <v>23949</v>
      </c>
      <c r="P15" s="14">
        <v>25380</v>
      </c>
      <c r="Q15" s="14">
        <v>25628</v>
      </c>
      <c r="R15" s="14">
        <v>26320</v>
      </c>
      <c r="S15" s="14">
        <v>26113</v>
      </c>
      <c r="T15" s="14">
        <v>25791</v>
      </c>
      <c r="U15" s="14">
        <v>27088</v>
      </c>
      <c r="V15" s="14">
        <v>28283</v>
      </c>
      <c r="W15" s="14">
        <v>29105</v>
      </c>
      <c r="X15" s="14">
        <v>29653</v>
      </c>
      <c r="Y15" s="14">
        <v>30257</v>
      </c>
      <c r="Z15" s="79"/>
    </row>
    <row r="16" spans="1:29" ht="14.25" customHeight="1" x14ac:dyDescent="0.25">
      <c r="A16" s="104"/>
      <c r="B16" s="41" t="s">
        <v>127</v>
      </c>
      <c r="C16" s="14" t="s">
        <v>128</v>
      </c>
      <c r="D16" s="84" t="s">
        <v>35</v>
      </c>
      <c r="E16" s="15">
        <v>0.65801573763766497</v>
      </c>
      <c r="F16" s="15">
        <v>0.67055579885706917</v>
      </c>
      <c r="G16" s="15">
        <v>0.66790194086950894</v>
      </c>
      <c r="H16" s="15">
        <v>0.65610418276759053</v>
      </c>
      <c r="I16" s="15">
        <v>0.63526404038993189</v>
      </c>
      <c r="J16" s="15">
        <v>0.62885644072657132</v>
      </c>
      <c r="K16" s="15">
        <v>0.63738646393680853</v>
      </c>
      <c r="L16" s="15">
        <v>0.64691249221161895</v>
      </c>
      <c r="M16" s="15">
        <v>0.62043343101345916</v>
      </c>
      <c r="N16" s="15">
        <v>0.62085090657812403</v>
      </c>
      <c r="O16" s="15">
        <v>0.64938674868646851</v>
      </c>
      <c r="P16" s="15">
        <v>0.61576596052838406</v>
      </c>
      <c r="Q16" s="15">
        <v>0.60903285482826652</v>
      </c>
      <c r="R16" s="15">
        <v>0.59533617538705219</v>
      </c>
      <c r="S16" s="15">
        <v>0.58283065376471455</v>
      </c>
      <c r="T16" s="15">
        <v>0.58135099597637818</v>
      </c>
      <c r="U16" s="15">
        <v>0.58253263452855841</v>
      </c>
      <c r="V16" s="15">
        <v>0.58207921343589164</v>
      </c>
      <c r="W16" s="15">
        <v>0.57548783104238388</v>
      </c>
      <c r="X16" s="15">
        <v>0.55774225459791604</v>
      </c>
      <c r="Y16" s="15">
        <f>+((Y10+Y13)*1000/24/Y170)/Y15</f>
        <v>0.55107039874768382</v>
      </c>
      <c r="Z16" s="79"/>
    </row>
    <row r="17" spans="1:26" ht="14.25" customHeight="1" x14ac:dyDescent="0.25">
      <c r="A17" s="104"/>
      <c r="B17" s="51"/>
      <c r="C17" s="37" t="s">
        <v>25</v>
      </c>
      <c r="D17" s="85" t="s">
        <v>35</v>
      </c>
      <c r="E17" s="42">
        <v>0.321227415031764</v>
      </c>
      <c r="F17" s="42">
        <v>0.31897377989989134</v>
      </c>
      <c r="G17" s="42">
        <v>0.34419327409591449</v>
      </c>
      <c r="H17" s="42">
        <v>0.34804351465190259</v>
      </c>
      <c r="I17" s="42">
        <v>0.36181636662578193</v>
      </c>
      <c r="J17" s="42">
        <v>0.37050635907563251</v>
      </c>
      <c r="K17" s="42">
        <v>0.37018943715856584</v>
      </c>
      <c r="L17" s="42">
        <v>0.37956561711900833</v>
      </c>
      <c r="M17" s="42">
        <v>0.38808506378475671</v>
      </c>
      <c r="N17" s="42">
        <v>0.39209434970069273</v>
      </c>
      <c r="O17" s="42">
        <v>0.40494120255083538</v>
      </c>
      <c r="P17" s="42">
        <v>0.41332262742432302</v>
      </c>
      <c r="Q17" s="42">
        <v>0.40748960701091191</v>
      </c>
      <c r="R17" s="42">
        <v>0.413690213772613</v>
      </c>
      <c r="S17" s="42">
        <v>0.41441497068316363</v>
      </c>
      <c r="T17" s="42">
        <v>0.44335280137159166</v>
      </c>
      <c r="U17" s="42">
        <v>0.42622060475192142</v>
      </c>
      <c r="V17" s="43">
        <v>0.43539546976470939</v>
      </c>
      <c r="W17" s="43">
        <v>0.44230517714882911</v>
      </c>
      <c r="X17" s="43">
        <v>0.44644319338490079</v>
      </c>
      <c r="Y17" s="43">
        <f>Y5/Y14</f>
        <v>0.45133461990131951</v>
      </c>
      <c r="Z17" s="79"/>
    </row>
    <row r="18" spans="1:26" ht="14.25" customHeight="1" x14ac:dyDescent="0.25">
      <c r="A18" s="104"/>
      <c r="B18" s="51"/>
      <c r="C18" s="37" t="s">
        <v>26</v>
      </c>
      <c r="D18" s="85" t="s">
        <v>35</v>
      </c>
      <c r="E18" s="42">
        <v>0.27283244158098696</v>
      </c>
      <c r="F18" s="42">
        <v>0.27158196881104796</v>
      </c>
      <c r="G18" s="42">
        <v>0.2770031116495596</v>
      </c>
      <c r="H18" s="42">
        <v>0.27928499539731361</v>
      </c>
      <c r="I18" s="42">
        <v>0.29183362481054775</v>
      </c>
      <c r="J18" s="42">
        <v>0.29165320204987299</v>
      </c>
      <c r="K18" s="42">
        <v>0.29409843792826024</v>
      </c>
      <c r="L18" s="42">
        <v>0.29982542922998023</v>
      </c>
      <c r="M18" s="42">
        <v>0.27682702599737297</v>
      </c>
      <c r="N18" s="42">
        <v>0.27434424108380223</v>
      </c>
      <c r="O18" s="42">
        <v>0.2728937061285342</v>
      </c>
      <c r="P18" s="42">
        <v>0.2791409077920477</v>
      </c>
      <c r="Q18" s="42">
        <v>0.27964891761942284</v>
      </c>
      <c r="R18" s="42">
        <v>0.27737201387005056</v>
      </c>
      <c r="S18" s="42">
        <v>0.27633975725176207</v>
      </c>
      <c r="T18" s="42">
        <v>0.25907672349379951</v>
      </c>
      <c r="U18" s="42">
        <v>0.25691464792214808</v>
      </c>
      <c r="V18" s="43">
        <v>0.26555202166110242</v>
      </c>
      <c r="W18" s="43">
        <v>0.26352312891663288</v>
      </c>
      <c r="X18" s="43">
        <v>0.26213947553535355</v>
      </c>
      <c r="Y18" s="43">
        <f>Y6/Y14</f>
        <v>0.26172815762430801</v>
      </c>
      <c r="Z18" s="79"/>
    </row>
    <row r="19" spans="1:26" ht="14.25" customHeight="1" x14ac:dyDescent="0.25">
      <c r="A19" s="104"/>
      <c r="B19" s="51" t="s">
        <v>20</v>
      </c>
      <c r="C19" s="12" t="s">
        <v>121</v>
      </c>
      <c r="D19" s="81" t="s">
        <v>35</v>
      </c>
      <c r="E19" s="44">
        <v>0.11602499489896972</v>
      </c>
      <c r="F19" s="44">
        <v>0.11764795193518206</v>
      </c>
      <c r="G19" s="44">
        <v>0.12199250768649517</v>
      </c>
      <c r="H19" s="44">
        <v>9.942369474442786E-2</v>
      </c>
      <c r="I19" s="44">
        <v>8.7702993033628482E-2</v>
      </c>
      <c r="J19" s="44">
        <v>9.4533516397052153E-2</v>
      </c>
      <c r="K19" s="44">
        <v>8.7961416381860683E-2</v>
      </c>
      <c r="L19" s="44">
        <v>7.834067348136059E-2</v>
      </c>
      <c r="M19" s="44">
        <v>9.5719193439989955E-2</v>
      </c>
      <c r="N19" s="44">
        <v>9.9360305155641149E-2</v>
      </c>
      <c r="O19" s="44">
        <v>9.9037987837714697E-2</v>
      </c>
      <c r="P19" s="44">
        <v>9.6737952761896187E-2</v>
      </c>
      <c r="Q19" s="44">
        <v>9.7146926661635935E-2</v>
      </c>
      <c r="R19" s="44">
        <v>9.6096070437108952E-2</v>
      </c>
      <c r="S19" s="44">
        <v>9.5853949035649394E-2</v>
      </c>
      <c r="T19" s="44">
        <v>8.4753544790211743E-2</v>
      </c>
      <c r="U19" s="44">
        <v>9.1335377923992725E-2</v>
      </c>
      <c r="V19" s="44">
        <v>9.378460484619669E-2</v>
      </c>
      <c r="W19" s="44">
        <v>9.0012378417518385E-2</v>
      </c>
      <c r="X19" s="44">
        <v>8.7943543307879943E-2</v>
      </c>
      <c r="Y19" s="44">
        <f>Y7/Y14</f>
        <v>8.5185051960021005E-2</v>
      </c>
      <c r="Z19" s="79"/>
    </row>
    <row r="20" spans="1:26" ht="14.25" customHeight="1" x14ac:dyDescent="0.25">
      <c r="A20" s="104"/>
      <c r="B20" s="51"/>
      <c r="C20" s="12" t="s">
        <v>122</v>
      </c>
      <c r="D20" s="81" t="s">
        <v>35</v>
      </c>
      <c r="E20" s="44">
        <v>0.23110815598267054</v>
      </c>
      <c r="F20" s="44">
        <v>0.22458367300617413</v>
      </c>
      <c r="G20" s="44">
        <v>0.20599144776600931</v>
      </c>
      <c r="H20" s="44">
        <v>0.21624863945026868</v>
      </c>
      <c r="I20" s="44">
        <v>0.20244017786765381</v>
      </c>
      <c r="J20" s="44">
        <v>0.20045446078788257</v>
      </c>
      <c r="K20" s="44">
        <v>0.20876081739363614</v>
      </c>
      <c r="L20" s="44">
        <v>0.20619834009763721</v>
      </c>
      <c r="M20" s="44">
        <v>0.20407460747338424</v>
      </c>
      <c r="N20" s="44">
        <v>0.19810148767050001</v>
      </c>
      <c r="O20" s="44">
        <v>0.18834339054930538</v>
      </c>
      <c r="P20" s="44">
        <v>0.17488346318125672</v>
      </c>
      <c r="Q20" s="44">
        <v>0.18168823266364353</v>
      </c>
      <c r="R20" s="44">
        <v>0.17790295120638588</v>
      </c>
      <c r="S20" s="44">
        <v>0.17572620891321458</v>
      </c>
      <c r="T20" s="44">
        <v>0.15318071254681079</v>
      </c>
      <c r="U20" s="44">
        <v>0.16425658488584072</v>
      </c>
      <c r="V20" s="44">
        <v>0.16196509462875733</v>
      </c>
      <c r="W20" s="44">
        <v>0.15838708084150049</v>
      </c>
      <c r="X20" s="44">
        <v>0.15870040298657434</v>
      </c>
      <c r="Y20" s="44">
        <f>Y8/Y14</f>
        <v>0.1620261287593249</v>
      </c>
      <c r="Z20" s="79"/>
    </row>
    <row r="21" spans="1:26" ht="14.25" customHeight="1" x14ac:dyDescent="0.25">
      <c r="A21" s="104"/>
      <c r="B21" s="51" t="s">
        <v>129</v>
      </c>
      <c r="C21" s="37" t="s">
        <v>80</v>
      </c>
      <c r="D21" s="85" t="s">
        <v>35</v>
      </c>
      <c r="E21" s="42">
        <v>0.34713315088164026</v>
      </c>
      <c r="F21" s="42">
        <v>0.34223162494135612</v>
      </c>
      <c r="G21" s="42">
        <v>0.32798395545250447</v>
      </c>
      <c r="H21" s="42">
        <v>0.31567233419469654</v>
      </c>
      <c r="I21" s="42">
        <v>0.29014317090128228</v>
      </c>
      <c r="J21" s="42">
        <v>0.29498797718493469</v>
      </c>
      <c r="K21" s="42">
        <v>0.29672223377549684</v>
      </c>
      <c r="L21" s="42">
        <v>0.2845390135789978</v>
      </c>
      <c r="M21" s="42">
        <v>0.29979380091337421</v>
      </c>
      <c r="N21" s="42">
        <v>0.29746179282614116</v>
      </c>
      <c r="O21" s="42">
        <v>0.2873813783870201</v>
      </c>
      <c r="P21" s="42">
        <v>0.27162141594315292</v>
      </c>
      <c r="Q21" s="42">
        <v>0.27883515932527947</v>
      </c>
      <c r="R21" s="42">
        <v>0.27399902164349488</v>
      </c>
      <c r="S21" s="42">
        <v>0.27158015794886398</v>
      </c>
      <c r="T21" s="42">
        <v>0.23793425733702253</v>
      </c>
      <c r="U21" s="42">
        <v>0.25559196280983343</v>
      </c>
      <c r="V21" s="43">
        <v>0.25574969947495402</v>
      </c>
      <c r="W21" s="43">
        <v>0.24839945925901885</v>
      </c>
      <c r="X21" s="43">
        <v>0.24664394629445432</v>
      </c>
      <c r="Y21" s="43">
        <f>Y9/Y14</f>
        <v>0.24721118071934589</v>
      </c>
      <c r="Z21" s="79"/>
    </row>
    <row r="22" spans="1:26" ht="14.25" customHeight="1" x14ac:dyDescent="0.25">
      <c r="A22" s="104"/>
      <c r="B22" s="51"/>
      <c r="C22" s="39" t="s">
        <v>13</v>
      </c>
      <c r="D22" s="82" t="s">
        <v>35</v>
      </c>
      <c r="E22" s="45">
        <v>0.94119300749439117</v>
      </c>
      <c r="F22" s="45">
        <v>0.93278737365229547</v>
      </c>
      <c r="G22" s="45">
        <v>0.94918034119797856</v>
      </c>
      <c r="H22" s="45">
        <v>0.94300084424391273</v>
      </c>
      <c r="I22" s="45">
        <v>0.94379316233761201</v>
      </c>
      <c r="J22" s="45">
        <v>0.95714753831044019</v>
      </c>
      <c r="K22" s="45">
        <v>0.96101010886232285</v>
      </c>
      <c r="L22" s="45">
        <v>0.9639300599279863</v>
      </c>
      <c r="M22" s="45">
        <v>0.96470589069550383</v>
      </c>
      <c r="N22" s="45">
        <v>0.96390038361063601</v>
      </c>
      <c r="O22" s="45">
        <v>0.96521628706638962</v>
      </c>
      <c r="P22" s="45">
        <v>0.96408495115952375</v>
      </c>
      <c r="Q22" s="45">
        <v>0.96597368395561423</v>
      </c>
      <c r="R22" s="45">
        <v>0.96506124928615844</v>
      </c>
      <c r="S22" s="45">
        <v>0.96233488588378968</v>
      </c>
      <c r="T22" s="45">
        <v>0.94036378220241379</v>
      </c>
      <c r="U22" s="45">
        <v>0.93872721548390292</v>
      </c>
      <c r="V22" s="45">
        <v>0.95669719090076577</v>
      </c>
      <c r="W22" s="45">
        <v>0.95422776532448084</v>
      </c>
      <c r="X22" s="45">
        <v>0.95522661521470897</v>
      </c>
      <c r="Y22" s="45">
        <f>Y10/Y14</f>
        <v>0.9602739582449733</v>
      </c>
      <c r="Z22" s="79"/>
    </row>
    <row r="23" spans="1:26" ht="14.25" customHeight="1" x14ac:dyDescent="0.25">
      <c r="A23" s="104"/>
      <c r="B23" s="51"/>
      <c r="C23" s="12" t="s">
        <v>27</v>
      </c>
      <c r="D23" s="81" t="s">
        <v>35</v>
      </c>
      <c r="E23" s="46">
        <v>1.3872968291431701E-2</v>
      </c>
      <c r="F23" s="46">
        <v>2.0069787211788495E-2</v>
      </c>
      <c r="G23" s="46">
        <v>5.3253794891508534E-3</v>
      </c>
      <c r="H23" s="46">
        <v>1.4401553611034752E-2</v>
      </c>
      <c r="I23" s="46">
        <v>1.1652373718904836E-2</v>
      </c>
      <c r="J23" s="46">
        <v>3.1231184029856971E-3</v>
      </c>
      <c r="K23" s="46">
        <v>2.1853425507162021E-3</v>
      </c>
      <c r="L23" s="46">
        <v>2.2238016063273552E-3</v>
      </c>
      <c r="M23" s="46">
        <v>3.3794600403604645E-6</v>
      </c>
      <c r="N23" s="46">
        <v>4.3337190532030598E-5</v>
      </c>
      <c r="O23" s="46">
        <v>4.0491234361853277E-4</v>
      </c>
      <c r="P23" s="46">
        <v>2.3700503815693875E-3</v>
      </c>
      <c r="Q23" s="46">
        <v>5.0457264222501374E-4</v>
      </c>
      <c r="R23" s="46">
        <v>2.0337452427830298E-3</v>
      </c>
      <c r="S23" s="46">
        <v>1.9492225619729341E-3</v>
      </c>
      <c r="T23" s="46">
        <v>2.2816577136343701E-2</v>
      </c>
      <c r="U23" s="46">
        <v>2.6994481952731995E-2</v>
      </c>
      <c r="V23" s="44">
        <v>2.1558077246251739E-4</v>
      </c>
      <c r="W23" s="44">
        <v>6.617706525740754E-4</v>
      </c>
      <c r="X23" s="44">
        <v>6.6086876057623051E-3</v>
      </c>
      <c r="Y23" s="44">
        <f>Y11/Y14</f>
        <v>3.4575997081968731E-3</v>
      </c>
      <c r="Z23" s="79"/>
    </row>
    <row r="24" spans="1:26" ht="14.25" customHeight="1" x14ac:dyDescent="0.25">
      <c r="A24" s="104"/>
      <c r="B24" s="51"/>
      <c r="C24" s="12" t="s">
        <v>124</v>
      </c>
      <c r="D24" s="81" t="s">
        <v>35</v>
      </c>
      <c r="E24" s="46">
        <v>4.400979596428151E-3</v>
      </c>
      <c r="F24" s="46">
        <v>3.3260925870280118E-3</v>
      </c>
      <c r="G24" s="46">
        <v>5.2635450943880743E-3</v>
      </c>
      <c r="H24" s="46">
        <v>4.7741683897704343E-3</v>
      </c>
      <c r="I24" s="46">
        <v>6.4409449823557207E-3</v>
      </c>
      <c r="J24" s="46">
        <v>4.7885990933838598E-3</v>
      </c>
      <c r="K24" s="46">
        <v>4.6703218046801774E-3</v>
      </c>
      <c r="L24" s="46">
        <v>5.748674265752797E-3</v>
      </c>
      <c r="M24" s="46">
        <v>3.8490796744278955E-3</v>
      </c>
      <c r="N24" s="46">
        <v>3.6979226543661413E-3</v>
      </c>
      <c r="O24" s="46">
        <v>4.2237910744873288E-3</v>
      </c>
      <c r="P24" s="46">
        <v>3.3660979033071411E-3</v>
      </c>
      <c r="Q24" s="46">
        <v>2.9205828101736041E-3</v>
      </c>
      <c r="R24" s="46">
        <v>2.0493711394450925E-3</v>
      </c>
      <c r="S24" s="46">
        <v>3.054582232178056E-3</v>
      </c>
      <c r="T24" s="46">
        <v>4.3404383427846759E-3</v>
      </c>
      <c r="U24" s="46">
        <v>3.7614175719267355E-3</v>
      </c>
      <c r="V24" s="44">
        <v>5.5834034001855963E-3</v>
      </c>
      <c r="W24" s="44">
        <v>5.5384148249280748E-3</v>
      </c>
      <c r="X24" s="44">
        <v>3.7153693387284473E-3</v>
      </c>
      <c r="Y24" s="44">
        <f>Y12/Y14</f>
        <v>3.5489899836069869E-3</v>
      </c>
      <c r="Z24" s="79"/>
    </row>
    <row r="25" spans="1:26" ht="14.25" customHeight="1" x14ac:dyDescent="0.25">
      <c r="A25" s="105"/>
      <c r="B25" s="51"/>
      <c r="C25" s="47" t="s">
        <v>125</v>
      </c>
      <c r="D25" s="86" t="s">
        <v>35</v>
      </c>
      <c r="E25" s="48">
        <v>4.2245378426399971E-2</v>
      </c>
      <c r="F25" s="48">
        <v>4.5824632873188408E-2</v>
      </c>
      <c r="G25" s="48">
        <v>4.191708950559446E-2</v>
      </c>
      <c r="H25" s="48">
        <v>3.9310283665401881E-2</v>
      </c>
      <c r="I25" s="48">
        <v>3.9623718299859667E-2</v>
      </c>
      <c r="J25" s="48">
        <v>3.6205801854083133E-2</v>
      </c>
      <c r="K25" s="48">
        <v>3.3201119071964914E-2</v>
      </c>
      <c r="L25" s="48">
        <v>2.8909755006250475E-2</v>
      </c>
      <c r="M25" s="48">
        <v>3.2462319049283303E-2</v>
      </c>
      <c r="N25" s="48">
        <v>3.3440434031870823E-2</v>
      </c>
      <c r="O25" s="48">
        <v>3.1092607387125392E-2</v>
      </c>
      <c r="P25" s="48">
        <v>3.1118007819059545E-2</v>
      </c>
      <c r="Q25" s="48">
        <v>3.1567152082288989E-2</v>
      </c>
      <c r="R25" s="48">
        <v>3.1838016527427598E-2</v>
      </c>
      <c r="S25" s="48">
        <v>3.3764088665955511E-2</v>
      </c>
      <c r="T25" s="48">
        <v>3.3569513333757121E-2</v>
      </c>
      <c r="U25" s="48">
        <v>3.1477479616722155E-2</v>
      </c>
      <c r="V25" s="48">
        <v>3.8965167756355432E-2</v>
      </c>
      <c r="W25" s="48">
        <v>4.1202517237209836E-2</v>
      </c>
      <c r="X25" s="48">
        <v>3.5678425621892738E-2</v>
      </c>
      <c r="Y25" s="48">
        <f>Y13/Y14</f>
        <v>3.2719452063222972E-2</v>
      </c>
      <c r="Z25" s="79"/>
    </row>
    <row r="26" spans="1:26" ht="14.25" customHeight="1" x14ac:dyDescent="0.25">
      <c r="A26" s="106" t="s">
        <v>130</v>
      </c>
      <c r="B26" s="73"/>
      <c r="C26" s="12" t="s">
        <v>131</v>
      </c>
      <c r="D26" s="83" t="s">
        <v>1</v>
      </c>
      <c r="E26" s="13">
        <v>4677</v>
      </c>
      <c r="F26" s="13">
        <v>4707</v>
      </c>
      <c r="G26" s="13">
        <v>4717</v>
      </c>
      <c r="H26" s="13">
        <v>4724.8</v>
      </c>
      <c r="I26" s="13">
        <v>4724.8</v>
      </c>
      <c r="J26" s="13">
        <v>4724.8</v>
      </c>
      <c r="K26" s="13">
        <v>4724.8</v>
      </c>
      <c r="L26" s="13">
        <v>4724.8</v>
      </c>
      <c r="M26" s="13">
        <v>4724.8</v>
      </c>
      <c r="N26" s="13">
        <v>4724.8</v>
      </c>
      <c r="O26" s="13">
        <v>4724.8</v>
      </c>
      <c r="P26" s="13">
        <v>4724.8</v>
      </c>
      <c r="Q26" s="13">
        <v>4724.8</v>
      </c>
      <c r="R26" s="13">
        <v>4724.8</v>
      </c>
      <c r="S26" s="13">
        <v>4724.8</v>
      </c>
      <c r="T26" s="13">
        <v>4724.8</v>
      </c>
      <c r="U26" s="13">
        <v>4724.8</v>
      </c>
      <c r="V26" s="13">
        <v>4724.8</v>
      </c>
      <c r="W26" s="13">
        <v>4724.8</v>
      </c>
      <c r="X26" s="13">
        <v>4724.8</v>
      </c>
      <c r="Y26" s="13">
        <v>4724.8</v>
      </c>
      <c r="Z26" s="79"/>
    </row>
    <row r="27" spans="1:26" ht="14.25" customHeight="1" x14ac:dyDescent="0.25">
      <c r="A27" s="107"/>
      <c r="B27" s="73"/>
      <c r="C27" s="12" t="s">
        <v>132</v>
      </c>
      <c r="D27" s="83" t="s">
        <v>1</v>
      </c>
      <c r="E27" s="13">
        <v>945</v>
      </c>
      <c r="F27" s="13">
        <v>945</v>
      </c>
      <c r="G27" s="13">
        <v>945</v>
      </c>
      <c r="H27" s="13">
        <v>945</v>
      </c>
      <c r="I27" s="13">
        <v>945</v>
      </c>
      <c r="J27" s="13">
        <v>945</v>
      </c>
      <c r="K27" s="13">
        <v>945</v>
      </c>
      <c r="L27" s="13">
        <v>945</v>
      </c>
      <c r="M27" s="13">
        <v>945</v>
      </c>
      <c r="N27" s="13">
        <v>945</v>
      </c>
      <c r="O27" s="13">
        <v>945</v>
      </c>
      <c r="P27" s="13">
        <v>945</v>
      </c>
      <c r="Q27" s="13">
        <v>945</v>
      </c>
      <c r="R27" s="13">
        <v>945</v>
      </c>
      <c r="S27" s="13">
        <v>945</v>
      </c>
      <c r="T27" s="13">
        <v>945</v>
      </c>
      <c r="U27" s="13">
        <v>945</v>
      </c>
      <c r="V27" s="13">
        <v>945</v>
      </c>
      <c r="W27" s="13">
        <v>945</v>
      </c>
      <c r="X27" s="13">
        <v>945</v>
      </c>
      <c r="Y27" s="13">
        <v>945</v>
      </c>
      <c r="Z27" s="79"/>
    </row>
    <row r="28" spans="1:26" ht="14.25" customHeight="1" x14ac:dyDescent="0.25">
      <c r="A28" s="107"/>
      <c r="B28" s="73"/>
      <c r="C28" s="12" t="s">
        <v>133</v>
      </c>
      <c r="D28" s="83" t="s">
        <v>1</v>
      </c>
      <c r="E28" s="13">
        <v>1850</v>
      </c>
      <c r="F28" s="13">
        <v>1850</v>
      </c>
      <c r="G28" s="13">
        <v>2040</v>
      </c>
      <c r="H28" s="13">
        <v>2040</v>
      </c>
      <c r="I28" s="13">
        <v>2280</v>
      </c>
      <c r="J28" s="13">
        <v>2280</v>
      </c>
      <c r="K28" s="13">
        <v>2730</v>
      </c>
      <c r="L28" s="13">
        <v>2745</v>
      </c>
      <c r="M28" s="13">
        <v>2745</v>
      </c>
      <c r="N28" s="13">
        <v>2745</v>
      </c>
      <c r="O28" s="13">
        <v>2745</v>
      </c>
      <c r="P28" s="13">
        <v>2745</v>
      </c>
      <c r="Q28" s="13">
        <v>2745</v>
      </c>
      <c r="R28" s="13">
        <v>2745</v>
      </c>
      <c r="S28" s="13">
        <v>2745</v>
      </c>
      <c r="T28" s="13">
        <v>2745</v>
      </c>
      <c r="U28" s="13">
        <v>2745</v>
      </c>
      <c r="V28" s="13">
        <v>2745</v>
      </c>
      <c r="W28" s="13">
        <v>2745</v>
      </c>
      <c r="X28" s="13">
        <v>1550</v>
      </c>
      <c r="Y28" s="13">
        <v>1550</v>
      </c>
      <c r="Z28" s="79"/>
    </row>
    <row r="29" spans="1:26" ht="14.25" customHeight="1" x14ac:dyDescent="0.25">
      <c r="A29" s="107"/>
      <c r="B29" s="73"/>
      <c r="C29" s="12" t="s">
        <v>134</v>
      </c>
      <c r="D29" s="83" t="s">
        <v>1</v>
      </c>
      <c r="E29" s="13">
        <v>2125.7299999999996</v>
      </c>
      <c r="F29" s="13">
        <v>2125.7299999999996</v>
      </c>
      <c r="G29" s="13">
        <v>2142.2799999999988</v>
      </c>
      <c r="H29" s="13">
        <v>2142.2799999999997</v>
      </c>
      <c r="I29" s="13">
        <v>2272.6799999999994</v>
      </c>
      <c r="J29" s="13">
        <v>2272.6799999999994</v>
      </c>
      <c r="K29" s="13">
        <v>2353.9000000000005</v>
      </c>
      <c r="L29" s="13">
        <v>2379.1500000000005</v>
      </c>
      <c r="M29" s="13">
        <v>2380.1500000000005</v>
      </c>
      <c r="N29" s="13">
        <v>2380.1500000000005</v>
      </c>
      <c r="O29" s="13">
        <v>2324.5600000000004</v>
      </c>
      <c r="P29" s="13">
        <v>2336.9000000000005</v>
      </c>
      <c r="Q29" s="13">
        <v>2331.5800000000008</v>
      </c>
      <c r="R29" s="13">
        <v>2375.5800000000008</v>
      </c>
      <c r="S29" s="13">
        <v>2397.5800000000008</v>
      </c>
      <c r="T29" s="13">
        <v>2419.5800000000008</v>
      </c>
      <c r="U29" s="13">
        <v>2419.5800000000008</v>
      </c>
      <c r="V29" s="13">
        <v>2419.5800000000008</v>
      </c>
      <c r="W29" s="13">
        <v>2419.579999999999</v>
      </c>
      <c r="X29" s="13">
        <v>2419.5800000000008</v>
      </c>
      <c r="Y29" s="13">
        <v>2419.5800000000008</v>
      </c>
      <c r="Z29" s="79"/>
    </row>
    <row r="30" spans="1:26" ht="14.25" customHeight="1" x14ac:dyDescent="0.25">
      <c r="A30" s="107"/>
      <c r="B30" s="73"/>
      <c r="C30" s="37" t="s">
        <v>135</v>
      </c>
      <c r="D30" s="80" t="s">
        <v>1</v>
      </c>
      <c r="E30" s="38">
        <v>9597.73</v>
      </c>
      <c r="F30" s="38">
        <v>9627.73</v>
      </c>
      <c r="G30" s="38">
        <v>9844.2799999999988</v>
      </c>
      <c r="H30" s="38">
        <v>9852.08</v>
      </c>
      <c r="I30" s="38">
        <v>10222.48</v>
      </c>
      <c r="J30" s="38">
        <v>10222.48</v>
      </c>
      <c r="K30" s="38">
        <v>10753.7</v>
      </c>
      <c r="L30" s="38">
        <v>10793.95</v>
      </c>
      <c r="M30" s="38">
        <v>10794.95</v>
      </c>
      <c r="N30" s="38">
        <v>10794.95</v>
      </c>
      <c r="O30" s="38">
        <v>10739.36</v>
      </c>
      <c r="P30" s="38">
        <v>10751.7</v>
      </c>
      <c r="Q30" s="38">
        <v>10746.380000000001</v>
      </c>
      <c r="R30" s="38">
        <v>10790.380000000001</v>
      </c>
      <c r="S30" s="38">
        <v>10812.380000000001</v>
      </c>
      <c r="T30" s="38">
        <v>10834.380000000001</v>
      </c>
      <c r="U30" s="38">
        <v>10834.380000000001</v>
      </c>
      <c r="V30" s="38">
        <v>10834.380000000001</v>
      </c>
      <c r="W30" s="38">
        <v>10834.379999999997</v>
      </c>
      <c r="X30" s="38">
        <v>9639.380000000001</v>
      </c>
      <c r="Y30" s="38">
        <f>+SUM(Y26:Y29)</f>
        <v>9639.380000000001</v>
      </c>
      <c r="Z30" s="79"/>
    </row>
    <row r="31" spans="1:26" ht="14.25" customHeight="1" x14ac:dyDescent="0.25">
      <c r="A31" s="107"/>
      <c r="B31" s="73"/>
      <c r="C31" s="12" t="s">
        <v>116</v>
      </c>
      <c r="D31" s="83" t="s">
        <v>1</v>
      </c>
      <c r="E31" s="13">
        <v>6362.67</v>
      </c>
      <c r="F31" s="13">
        <v>6282.67</v>
      </c>
      <c r="G31" s="13">
        <v>6362.67</v>
      </c>
      <c r="H31" s="13">
        <v>6935.07</v>
      </c>
      <c r="I31" s="13">
        <v>7046.4700000000012</v>
      </c>
      <c r="J31" s="13">
        <v>8184.77</v>
      </c>
      <c r="K31" s="13">
        <v>8724.77</v>
      </c>
      <c r="L31" s="13">
        <v>9190.7700000000023</v>
      </c>
      <c r="M31" s="13">
        <v>9190.7700000000023</v>
      </c>
      <c r="N31" s="13">
        <v>9190.7700000000023</v>
      </c>
      <c r="O31" s="13">
        <v>9227.1</v>
      </c>
      <c r="P31" s="13">
        <v>9227.1299999999974</v>
      </c>
      <c r="Q31" s="13">
        <v>10436.394999999999</v>
      </c>
      <c r="R31" s="13">
        <v>11034.394999999999</v>
      </c>
      <c r="S31" s="13">
        <v>11244.714999999998</v>
      </c>
      <c r="T31" s="13">
        <v>13119.794</v>
      </c>
      <c r="U31" s="13">
        <v>13502.870000000003</v>
      </c>
      <c r="V31" s="13">
        <v>13499.544</v>
      </c>
      <c r="W31" s="13">
        <v>14235.00400000001</v>
      </c>
      <c r="X31" s="13">
        <v>15123.191000000008</v>
      </c>
      <c r="Y31" s="13">
        <v>15403.191000000003</v>
      </c>
      <c r="Z31" s="79"/>
    </row>
    <row r="32" spans="1:26" ht="14.25" customHeight="1" x14ac:dyDescent="0.25">
      <c r="A32" s="107"/>
      <c r="B32" s="73" t="s">
        <v>136</v>
      </c>
      <c r="C32" s="12" t="s">
        <v>117</v>
      </c>
      <c r="D32" s="83" t="s">
        <v>1</v>
      </c>
      <c r="E32" s="13">
        <v>2277.1999999999998</v>
      </c>
      <c r="F32" s="13">
        <v>2344.2000000000003</v>
      </c>
      <c r="G32" s="13">
        <v>2359.2000000000003</v>
      </c>
      <c r="H32" s="13">
        <v>3512.1000000000004</v>
      </c>
      <c r="I32" s="13">
        <v>3744.2340000000004</v>
      </c>
      <c r="J32" s="13">
        <v>3588.3339999999998</v>
      </c>
      <c r="K32" s="13">
        <v>3492.5039999999999</v>
      </c>
      <c r="L32" s="13">
        <v>4035.5040000000004</v>
      </c>
      <c r="M32" s="13">
        <v>4061.3840000000005</v>
      </c>
      <c r="N32" s="13">
        <v>4292.384</v>
      </c>
      <c r="O32" s="13">
        <v>4981.1000000000004</v>
      </c>
      <c r="P32" s="13">
        <v>5251.4900000000007</v>
      </c>
      <c r="Q32" s="13">
        <v>6005.6200000000008</v>
      </c>
      <c r="R32" s="13">
        <v>7237.1279999999997</v>
      </c>
      <c r="S32" s="13">
        <v>7410.68</v>
      </c>
      <c r="T32" s="13">
        <v>6298.4710000000005</v>
      </c>
      <c r="U32" s="13">
        <v>5955.8010000000004</v>
      </c>
      <c r="V32" s="13">
        <v>5827.8010000000004</v>
      </c>
      <c r="W32" s="13">
        <v>5290.5709999999999</v>
      </c>
      <c r="X32" s="13">
        <v>4820.880000000001</v>
      </c>
      <c r="Y32" s="13">
        <v>4441.88</v>
      </c>
      <c r="Z32" s="79"/>
    </row>
    <row r="33" spans="1:26" ht="14.25" customHeight="1" x14ac:dyDescent="0.25">
      <c r="A33" s="107"/>
      <c r="B33" s="73" t="s">
        <v>115</v>
      </c>
      <c r="C33" s="12" t="s">
        <v>118</v>
      </c>
      <c r="D33" s="83" t="s">
        <v>1</v>
      </c>
      <c r="E33" s="13">
        <v>4496</v>
      </c>
      <c r="F33" s="13">
        <v>4463</v>
      </c>
      <c r="G33" s="13">
        <v>4573</v>
      </c>
      <c r="H33" s="13">
        <v>4438</v>
      </c>
      <c r="I33" s="13">
        <v>4438</v>
      </c>
      <c r="J33" s="13">
        <v>4438</v>
      </c>
      <c r="K33" s="13">
        <v>4445</v>
      </c>
      <c r="L33" s="13">
        <v>4451.2</v>
      </c>
      <c r="M33" s="13">
        <v>4451.2</v>
      </c>
      <c r="N33" s="13">
        <v>4451.2</v>
      </c>
      <c r="O33" s="13">
        <v>4451.2</v>
      </c>
      <c r="P33" s="13">
        <v>4451.2</v>
      </c>
      <c r="Q33" s="13">
        <v>4451.2</v>
      </c>
      <c r="R33" s="13">
        <v>4451.2</v>
      </c>
      <c r="S33" s="13">
        <v>4251.2</v>
      </c>
      <c r="T33" s="13">
        <v>4251.2</v>
      </c>
      <c r="U33" s="13">
        <v>4251.2</v>
      </c>
      <c r="V33" s="13">
        <v>4251.2</v>
      </c>
      <c r="W33" s="13">
        <v>4251.2</v>
      </c>
      <c r="X33" s="13">
        <v>3781.2</v>
      </c>
      <c r="Y33" s="13">
        <v>3717.2</v>
      </c>
      <c r="Z33" s="79"/>
    </row>
    <row r="34" spans="1:26" ht="14.25" customHeight="1" x14ac:dyDescent="0.25">
      <c r="A34" s="107"/>
      <c r="B34" s="73"/>
      <c r="C34" s="12" t="s">
        <v>119</v>
      </c>
      <c r="D34" s="83" t="s">
        <v>1</v>
      </c>
      <c r="E34" s="13">
        <v>4</v>
      </c>
      <c r="F34" s="13">
        <v>4</v>
      </c>
      <c r="G34" s="13">
        <v>26.25</v>
      </c>
      <c r="H34" s="13">
        <v>266.60999999999996</v>
      </c>
      <c r="I34" s="13">
        <v>398.28</v>
      </c>
      <c r="J34" s="13">
        <v>607.17999999999995</v>
      </c>
      <c r="K34" s="13">
        <v>1130.8199999999997</v>
      </c>
      <c r="L34" s="13">
        <v>1346.7799999999997</v>
      </c>
      <c r="M34" s="13">
        <v>1387.7399999999998</v>
      </c>
      <c r="N34" s="13">
        <v>1416.0449999999998</v>
      </c>
      <c r="O34" s="13">
        <v>1783.5999999999997</v>
      </c>
      <c r="P34" s="13">
        <v>1834.2470000000001</v>
      </c>
      <c r="Q34" s="13">
        <v>2002.538</v>
      </c>
      <c r="R34" s="13">
        <v>1808.0459999999989</v>
      </c>
      <c r="S34" s="13">
        <v>1653.3920000000001</v>
      </c>
      <c r="T34" s="13">
        <v>1692.5340000000001</v>
      </c>
      <c r="U34" s="13">
        <v>1687.7620000000002</v>
      </c>
      <c r="V34" s="13">
        <v>1696.4480000000001</v>
      </c>
      <c r="W34" s="13">
        <v>1660.3979999999999</v>
      </c>
      <c r="X34" s="13">
        <v>1558.9779999999998</v>
      </c>
      <c r="Y34" s="13">
        <v>1542.3580000000002</v>
      </c>
      <c r="Z34" s="79"/>
    </row>
    <row r="35" spans="1:26" ht="14.25" customHeight="1" x14ac:dyDescent="0.25">
      <c r="A35" s="107"/>
      <c r="B35" s="73"/>
      <c r="C35" s="37" t="s">
        <v>51</v>
      </c>
      <c r="D35" s="80" t="s">
        <v>1</v>
      </c>
      <c r="E35" s="38">
        <v>13139.869999999999</v>
      </c>
      <c r="F35" s="38">
        <v>13093.87</v>
      </c>
      <c r="G35" s="38">
        <v>13321.12</v>
      </c>
      <c r="H35" s="38">
        <v>15151.78</v>
      </c>
      <c r="I35" s="38">
        <v>15626.984000000002</v>
      </c>
      <c r="J35" s="38">
        <v>16818.284</v>
      </c>
      <c r="K35" s="38">
        <v>17793.094000000001</v>
      </c>
      <c r="L35" s="38">
        <v>19024.254000000001</v>
      </c>
      <c r="M35" s="38">
        <v>19091.094000000005</v>
      </c>
      <c r="N35" s="38">
        <v>19350.399000000001</v>
      </c>
      <c r="O35" s="38">
        <v>20443</v>
      </c>
      <c r="P35" s="38">
        <v>20764.066999999999</v>
      </c>
      <c r="Q35" s="38">
        <v>22895.753000000001</v>
      </c>
      <c r="R35" s="38">
        <v>24530.768999999997</v>
      </c>
      <c r="S35" s="38">
        <v>24559.986999999997</v>
      </c>
      <c r="T35" s="38">
        <v>25361.999</v>
      </c>
      <c r="U35" s="38">
        <v>25397.633000000002</v>
      </c>
      <c r="V35" s="38">
        <v>25274.993000000002</v>
      </c>
      <c r="W35" s="38">
        <v>25437.173000000013</v>
      </c>
      <c r="X35" s="38">
        <v>25284.249000000011</v>
      </c>
      <c r="Y35" s="38">
        <f>SUM(Y31:Y34)</f>
        <v>25104.629000000004</v>
      </c>
      <c r="Z35" s="79"/>
    </row>
    <row r="36" spans="1:26" ht="14.25" customHeight="1" x14ac:dyDescent="0.25">
      <c r="A36" s="107"/>
      <c r="B36" s="73" t="s">
        <v>123</v>
      </c>
      <c r="C36" s="37" t="s">
        <v>52</v>
      </c>
      <c r="D36" s="80" t="s">
        <v>1</v>
      </c>
      <c r="E36" s="38">
        <v>1005</v>
      </c>
      <c r="F36" s="38">
        <v>1005</v>
      </c>
      <c r="G36" s="38">
        <v>1005</v>
      </c>
      <c r="H36" s="38">
        <v>1005</v>
      </c>
      <c r="I36" s="38">
        <v>1005</v>
      </c>
      <c r="J36" s="38">
        <v>1005</v>
      </c>
      <c r="K36" s="38">
        <v>1005</v>
      </c>
      <c r="L36" s="38">
        <v>1005</v>
      </c>
      <c r="M36" s="38">
        <v>1010</v>
      </c>
      <c r="N36" s="38">
        <v>1525</v>
      </c>
      <c r="O36" s="38">
        <v>1730.3</v>
      </c>
      <c r="P36" s="38">
        <v>1755</v>
      </c>
      <c r="Q36" s="38">
        <v>1755</v>
      </c>
      <c r="R36" s="38">
        <v>1755</v>
      </c>
      <c r="S36" s="38">
        <v>1755</v>
      </c>
      <c r="T36" s="38">
        <v>1755</v>
      </c>
      <c r="U36" s="38">
        <v>1755</v>
      </c>
      <c r="V36" s="38">
        <v>1755</v>
      </c>
      <c r="W36" s="38">
        <v>1755</v>
      </c>
      <c r="X36" s="38">
        <v>1755</v>
      </c>
      <c r="Y36" s="38">
        <v>1755</v>
      </c>
      <c r="Z36" s="79"/>
    </row>
    <row r="37" spans="1:26" ht="14.25" customHeight="1" x14ac:dyDescent="0.25">
      <c r="A37" s="107"/>
      <c r="B37" s="73" t="s">
        <v>1</v>
      </c>
      <c r="C37" s="12" t="s">
        <v>53</v>
      </c>
      <c r="D37" s="83" t="s">
        <v>1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0.25</v>
      </c>
      <c r="K37" s="13">
        <v>6.55</v>
      </c>
      <c r="L37" s="13">
        <v>109.14999999999999</v>
      </c>
      <c r="M37" s="13">
        <v>162.15000000000003</v>
      </c>
      <c r="N37" s="13">
        <v>187.35000000000002</v>
      </c>
      <c r="O37" s="13">
        <v>187.40000000000003</v>
      </c>
      <c r="P37" s="13">
        <v>187.35</v>
      </c>
      <c r="Q37" s="13">
        <v>226.65</v>
      </c>
      <c r="R37" s="13">
        <v>750.24999999999989</v>
      </c>
      <c r="S37" s="13">
        <v>1608.5500000000004</v>
      </c>
      <c r="T37" s="13">
        <v>2623.0949999999998</v>
      </c>
      <c r="U37" s="13">
        <v>3291.3150000000001</v>
      </c>
      <c r="V37" s="13">
        <v>3309.3150000000001</v>
      </c>
      <c r="W37" s="13">
        <v>3705.4149999999991</v>
      </c>
      <c r="X37" s="13">
        <v>4319.4149999999991</v>
      </c>
      <c r="Y37" s="13">
        <v>4495.6149999999989</v>
      </c>
      <c r="Z37" s="79"/>
    </row>
    <row r="38" spans="1:26" ht="14.25" customHeight="1" x14ac:dyDescent="0.25">
      <c r="A38" s="107"/>
      <c r="B38" s="73"/>
      <c r="C38" s="12" t="s">
        <v>54</v>
      </c>
      <c r="D38" s="83" t="s">
        <v>1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17</v>
      </c>
      <c r="O38" s="13">
        <v>16.600000000000001</v>
      </c>
      <c r="P38" s="13">
        <v>16.600000000000001</v>
      </c>
      <c r="Q38" s="13">
        <v>21.515000000000001</v>
      </c>
      <c r="R38" s="13">
        <v>22.715</v>
      </c>
      <c r="S38" s="13">
        <v>43.674999999999997</v>
      </c>
      <c r="T38" s="13">
        <v>54.574999999999996</v>
      </c>
      <c r="U38" s="13">
        <v>68.97499999999998</v>
      </c>
      <c r="V38" s="13">
        <v>72.594999999999999</v>
      </c>
      <c r="W38" s="13">
        <v>78.132999999999996</v>
      </c>
      <c r="X38" s="13">
        <v>82.332999999999998</v>
      </c>
      <c r="Y38" s="13">
        <v>119.333</v>
      </c>
      <c r="Z38" s="79"/>
    </row>
    <row r="39" spans="1:26" ht="14.25" customHeight="1" x14ac:dyDescent="0.25">
      <c r="A39" s="107"/>
      <c r="B39" s="73"/>
      <c r="C39" s="12" t="s">
        <v>55</v>
      </c>
      <c r="D39" s="83" t="s">
        <v>1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2</v>
      </c>
      <c r="T39" s="13">
        <v>53.6</v>
      </c>
      <c r="U39" s="13">
        <v>70.3</v>
      </c>
      <c r="V39" s="13">
        <v>70.3</v>
      </c>
      <c r="W39" s="13">
        <v>73.3</v>
      </c>
      <c r="X39" s="13">
        <v>73.3</v>
      </c>
      <c r="Y39" s="13">
        <v>76.3</v>
      </c>
      <c r="Z39" s="79"/>
    </row>
    <row r="40" spans="1:26" ht="14.25" customHeight="1" x14ac:dyDescent="0.25">
      <c r="A40" s="107"/>
      <c r="B40" s="73"/>
      <c r="C40" s="12" t="s">
        <v>56</v>
      </c>
      <c r="D40" s="83" t="s">
        <v>1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1.2</v>
      </c>
      <c r="L40" s="13">
        <v>6.2</v>
      </c>
      <c r="M40" s="13">
        <v>8.1999999999999993</v>
      </c>
      <c r="N40" s="13">
        <v>8.1999999999999993</v>
      </c>
      <c r="O40" s="13">
        <v>8.1999999999999993</v>
      </c>
      <c r="P40" s="13">
        <v>8.1999999999999993</v>
      </c>
      <c r="Q40" s="13">
        <v>8.1999999999999993</v>
      </c>
      <c r="R40" s="13">
        <v>190.63</v>
      </c>
      <c r="S40" s="13">
        <v>439.22999999999996</v>
      </c>
      <c r="T40" s="13">
        <v>758.96000000000015</v>
      </c>
      <c r="U40" s="13">
        <v>1060.23</v>
      </c>
      <c r="V40" s="13">
        <v>1085.83</v>
      </c>
      <c r="W40" s="13">
        <v>1365.94</v>
      </c>
      <c r="X40" s="13">
        <v>1672.93</v>
      </c>
      <c r="Y40" s="13">
        <v>2463.83</v>
      </c>
      <c r="Z40" s="79"/>
    </row>
    <row r="41" spans="1:26" ht="14.25" customHeight="1" x14ac:dyDescent="0.25">
      <c r="A41" s="107"/>
      <c r="B41" s="73"/>
      <c r="C41" s="12" t="s">
        <v>137</v>
      </c>
      <c r="D41" s="83" t="s">
        <v>1</v>
      </c>
      <c r="E41" s="13">
        <v>381.29000000000008</v>
      </c>
      <c r="F41" s="13">
        <v>381.29000000000008</v>
      </c>
      <c r="G41" s="13">
        <v>381.29000000000008</v>
      </c>
      <c r="H41" s="13">
        <v>381.29000000000008</v>
      </c>
      <c r="I41" s="13">
        <v>381.29000000000008</v>
      </c>
      <c r="J41" s="13">
        <v>381.29000000000008</v>
      </c>
      <c r="K41" s="13">
        <v>381.29000000000008</v>
      </c>
      <c r="L41" s="13">
        <v>381.29000000000008</v>
      </c>
      <c r="M41" s="13">
        <v>381.29000000000008</v>
      </c>
      <c r="N41" s="13">
        <v>381.29000000000008</v>
      </c>
      <c r="O41" s="13">
        <v>438.64000000000004</v>
      </c>
      <c r="P41" s="13">
        <v>488.24</v>
      </c>
      <c r="Q41" s="13">
        <v>496.44</v>
      </c>
      <c r="R41" s="13">
        <v>497.94</v>
      </c>
      <c r="S41" s="13">
        <v>497.94</v>
      </c>
      <c r="T41" s="13">
        <v>509.58</v>
      </c>
      <c r="U41" s="13">
        <v>511.09</v>
      </c>
      <c r="V41" s="13">
        <v>524.31000000000006</v>
      </c>
      <c r="W41" s="13">
        <v>524.30999999999995</v>
      </c>
      <c r="X41" s="13">
        <v>524.30999999999995</v>
      </c>
      <c r="Y41" s="13">
        <v>522.91</v>
      </c>
      <c r="Z41" s="79"/>
    </row>
    <row r="42" spans="1:26" ht="14.25" customHeight="1" x14ac:dyDescent="0.25">
      <c r="A42" s="107"/>
      <c r="B42" s="73"/>
      <c r="C42" s="37" t="s">
        <v>138</v>
      </c>
      <c r="D42" s="80" t="s">
        <v>1</v>
      </c>
      <c r="E42" s="49">
        <v>381.29000000000008</v>
      </c>
      <c r="F42" s="49">
        <v>381.29000000000008</v>
      </c>
      <c r="G42" s="49">
        <v>381.29000000000008</v>
      </c>
      <c r="H42" s="49">
        <v>381.29000000000008</v>
      </c>
      <c r="I42" s="49">
        <v>381.29000000000008</v>
      </c>
      <c r="J42" s="49">
        <v>381.54000000000008</v>
      </c>
      <c r="K42" s="49">
        <v>389.04000000000008</v>
      </c>
      <c r="L42" s="49">
        <v>496.6400000000001</v>
      </c>
      <c r="M42" s="49">
        <v>551.6400000000001</v>
      </c>
      <c r="N42" s="49">
        <v>593.84000000000015</v>
      </c>
      <c r="O42" s="49">
        <v>650.84</v>
      </c>
      <c r="P42" s="49">
        <v>700.39</v>
      </c>
      <c r="Q42" s="49">
        <v>752.80500000000006</v>
      </c>
      <c r="R42" s="49">
        <v>1461.5349999999999</v>
      </c>
      <c r="S42" s="49">
        <v>2591.3950000000004</v>
      </c>
      <c r="T42" s="49">
        <v>3999.8099999999995</v>
      </c>
      <c r="U42" s="49">
        <v>5001.91</v>
      </c>
      <c r="V42" s="49">
        <v>5062.3500000000004</v>
      </c>
      <c r="W42" s="49">
        <v>5747.0979999999981</v>
      </c>
      <c r="X42" s="49">
        <v>6672.2879999999986</v>
      </c>
      <c r="Y42" s="49">
        <f>SUM(Y37:Y41)</f>
        <v>7677.9879999999985</v>
      </c>
      <c r="Z42" s="79"/>
    </row>
    <row r="43" spans="1:26" ht="14.25" customHeight="1" x14ac:dyDescent="0.25">
      <c r="A43" s="107"/>
      <c r="B43" s="73"/>
      <c r="C43" s="14" t="s">
        <v>14</v>
      </c>
      <c r="D43" s="84" t="s">
        <v>1</v>
      </c>
      <c r="E43" s="14">
        <v>24123.89</v>
      </c>
      <c r="F43" s="14">
        <v>24107.89</v>
      </c>
      <c r="G43" s="14">
        <v>24551.69</v>
      </c>
      <c r="H43" s="14">
        <v>26390.15</v>
      </c>
      <c r="I43" s="14">
        <v>27235.754000000001</v>
      </c>
      <c r="J43" s="14">
        <v>28427.304</v>
      </c>
      <c r="K43" s="14">
        <v>29940.834000000003</v>
      </c>
      <c r="L43" s="14">
        <v>31319.844000000001</v>
      </c>
      <c r="M43" s="14">
        <v>31447.684000000005</v>
      </c>
      <c r="N43" s="14">
        <v>32264.189000000002</v>
      </c>
      <c r="O43" s="14">
        <v>33563.5</v>
      </c>
      <c r="P43" s="14">
        <v>33971.156999999999</v>
      </c>
      <c r="Q43" s="14">
        <v>36149.938000000002</v>
      </c>
      <c r="R43" s="14">
        <v>38537.683999999994</v>
      </c>
      <c r="S43" s="14">
        <v>39718.762000000002</v>
      </c>
      <c r="T43" s="14">
        <v>41951.188999999998</v>
      </c>
      <c r="U43" s="14">
        <v>42988.923000000003</v>
      </c>
      <c r="V43" s="14">
        <v>42926.722999999998</v>
      </c>
      <c r="W43" s="14">
        <v>43773.651000000005</v>
      </c>
      <c r="X43" s="14">
        <v>43350.917000000016</v>
      </c>
      <c r="Y43" s="14">
        <f>Y30+Y35+Y36+Y42</f>
        <v>44176.997000000003</v>
      </c>
      <c r="Z43" s="79"/>
    </row>
    <row r="44" spans="1:26" ht="14.25" customHeight="1" x14ac:dyDescent="0.25">
      <c r="A44" s="107"/>
      <c r="B44" s="51"/>
      <c r="C44" s="12" t="s">
        <v>131</v>
      </c>
      <c r="D44" s="81" t="s">
        <v>35</v>
      </c>
      <c r="E44" s="46">
        <v>0.19387420519659143</v>
      </c>
      <c r="F44" s="46">
        <v>0.19524728211386397</v>
      </c>
      <c r="G44" s="46">
        <v>0.19212526714046976</v>
      </c>
      <c r="H44" s="46">
        <v>0.17903649657163753</v>
      </c>
      <c r="I44" s="46">
        <v>0.17347784827253176</v>
      </c>
      <c r="J44" s="46">
        <v>0.16620640494082731</v>
      </c>
      <c r="K44" s="46">
        <v>0.15780455547764635</v>
      </c>
      <c r="L44" s="46">
        <v>0.15085643466167967</v>
      </c>
      <c r="M44" s="46">
        <v>0.15024317848017041</v>
      </c>
      <c r="N44" s="46">
        <v>0.14644099685877737</v>
      </c>
      <c r="O44" s="46">
        <v>0.1407719695502555</v>
      </c>
      <c r="P44" s="46">
        <v>0.13908269300336165</v>
      </c>
      <c r="Q44" s="46">
        <v>0.13070008584800338</v>
      </c>
      <c r="R44" s="46">
        <v>0.12260207437478601</v>
      </c>
      <c r="S44" s="46">
        <v>0.11895637633418685</v>
      </c>
      <c r="T44" s="46">
        <v>0.11262612842749226</v>
      </c>
      <c r="U44" s="46">
        <v>0.10990738242035047</v>
      </c>
      <c r="V44" s="46">
        <v>0.11006663611382589</v>
      </c>
      <c r="W44" s="46">
        <v>0.10793707840362687</v>
      </c>
      <c r="X44" s="46">
        <v>0.1089896206809189</v>
      </c>
      <c r="Y44" s="46">
        <f>Y26/$Y$43</f>
        <v>0.10695158840244393</v>
      </c>
      <c r="Z44" s="79"/>
    </row>
    <row r="45" spans="1:26" ht="14.25" customHeight="1" x14ac:dyDescent="0.25">
      <c r="A45" s="107"/>
      <c r="B45" s="51"/>
      <c r="C45" s="12" t="s">
        <v>132</v>
      </c>
      <c r="D45" s="81" t="s">
        <v>35</v>
      </c>
      <c r="E45" s="46">
        <v>3.9172786810087429E-2</v>
      </c>
      <c r="F45" s="46">
        <v>3.9198785128022405E-2</v>
      </c>
      <c r="G45" s="46">
        <v>3.8490222058033478E-2</v>
      </c>
      <c r="H45" s="46">
        <v>3.5808815031365869E-2</v>
      </c>
      <c r="I45" s="46">
        <v>3.4697038312212686E-2</v>
      </c>
      <c r="J45" s="46">
        <v>3.324268808607387E-2</v>
      </c>
      <c r="K45" s="46">
        <v>3.1562247063658948E-2</v>
      </c>
      <c r="L45" s="46">
        <v>3.0172564077905369E-2</v>
      </c>
      <c r="M45" s="46">
        <v>3.0049907649797036E-2</v>
      </c>
      <c r="N45" s="46">
        <v>2.9289439136375005E-2</v>
      </c>
      <c r="O45" s="46">
        <v>2.815558568087357E-2</v>
      </c>
      <c r="P45" s="46">
        <v>2.7817716070135615E-2</v>
      </c>
      <c r="Q45" s="46">
        <v>2.6141123672189976E-2</v>
      </c>
      <c r="R45" s="46">
        <v>2.4521452820050114E-2</v>
      </c>
      <c r="S45" s="46">
        <v>2.3792282347571657E-2</v>
      </c>
      <c r="T45" s="46">
        <v>2.2526179174564041E-2</v>
      </c>
      <c r="U45" s="46">
        <v>2.1982406956322212E-2</v>
      </c>
      <c r="V45" s="46">
        <v>2.201425904325378E-2</v>
      </c>
      <c r="W45" s="46">
        <v>2.1588329472449073E-2</v>
      </c>
      <c r="X45" s="46">
        <v>2.1798846838695467E-2</v>
      </c>
      <c r="Y45" s="46">
        <f t="shared" ref="Y45:Y61" si="0">Y27/$Y$43</f>
        <v>2.1391223129086839E-2</v>
      </c>
      <c r="Z45" s="79"/>
    </row>
    <row r="46" spans="1:26" ht="14.25" customHeight="1" x14ac:dyDescent="0.25">
      <c r="A46" s="107"/>
      <c r="B46" s="51"/>
      <c r="C46" s="12" t="s">
        <v>139</v>
      </c>
      <c r="D46" s="81" t="s">
        <v>35</v>
      </c>
      <c r="E46" s="46">
        <v>7.6687466241970093E-2</v>
      </c>
      <c r="F46" s="46">
        <v>7.6738362419938033E-2</v>
      </c>
      <c r="G46" s="46">
        <v>8.3090003172897678E-2</v>
      </c>
      <c r="H46" s="46">
        <v>7.7301568956599329E-2</v>
      </c>
      <c r="I46" s="46">
        <v>8.3713489261211568E-2</v>
      </c>
      <c r="J46" s="46">
        <v>8.0204580779098852E-2</v>
      </c>
      <c r="K46" s="46">
        <v>9.1179824850570287E-2</v>
      </c>
      <c r="L46" s="46">
        <v>8.7644114702487022E-2</v>
      </c>
      <c r="M46" s="46">
        <v>8.7287826982743774E-2</v>
      </c>
      <c r="N46" s="46">
        <v>8.5078847015184533E-2</v>
      </c>
      <c r="O46" s="46">
        <v>8.1785272692061317E-2</v>
      </c>
      <c r="P46" s="46">
        <v>8.0803841918012986E-2</v>
      </c>
      <c r="Q46" s="46">
        <v>7.5933740190647067E-2</v>
      </c>
      <c r="R46" s="46">
        <v>7.1228982001097951E-2</v>
      </c>
      <c r="S46" s="46">
        <v>6.9110915390565297E-2</v>
      </c>
      <c r="T46" s="46">
        <v>6.5433187126114595E-2</v>
      </c>
      <c r="U46" s="46">
        <v>6.3853658301697855E-2</v>
      </c>
      <c r="V46" s="46">
        <v>6.3946181030403837E-2</v>
      </c>
      <c r="W46" s="46">
        <v>6.2708957039018742E-2</v>
      </c>
      <c r="X46" s="46">
        <v>3.5754722328019024E-2</v>
      </c>
      <c r="Y46" s="46">
        <f t="shared" si="0"/>
        <v>3.5086133174692703E-2</v>
      </c>
      <c r="Z46" s="79"/>
    </row>
    <row r="47" spans="1:26" ht="14.25" customHeight="1" x14ac:dyDescent="0.25">
      <c r="A47" s="107"/>
      <c r="B47" s="51"/>
      <c r="C47" s="12" t="s">
        <v>134</v>
      </c>
      <c r="D47" s="81" t="s">
        <v>35</v>
      </c>
      <c r="E47" s="46">
        <v>8.8117214926780041E-2</v>
      </c>
      <c r="F47" s="46">
        <v>8.8175696836180997E-2</v>
      </c>
      <c r="G47" s="46">
        <v>8.7255907841781929E-2</v>
      </c>
      <c r="H47" s="46">
        <v>8.1177257423697843E-2</v>
      </c>
      <c r="I47" s="46">
        <v>8.3444724900951867E-2</v>
      </c>
      <c r="J47" s="46">
        <v>7.9947081861860669E-2</v>
      </c>
      <c r="K47" s="46">
        <v>7.8618384511266459E-2</v>
      </c>
      <c r="L47" s="46">
        <v>7.5963022038040812E-2</v>
      </c>
      <c r="M47" s="46">
        <v>7.568601872239622E-2</v>
      </c>
      <c r="N47" s="46">
        <v>7.3770643979304745E-2</v>
      </c>
      <c r="O47" s="46">
        <v>6.9258569577070342E-2</v>
      </c>
      <c r="P47" s="46">
        <v>6.8790709718835913E-2</v>
      </c>
      <c r="Q47" s="46">
        <v>6.4497482678946796E-2</v>
      </c>
      <c r="R47" s="46">
        <v>6.1643040095507584E-2</v>
      </c>
      <c r="S47" s="46">
        <v>6.0363915672900399E-2</v>
      </c>
      <c r="T47" s="46">
        <v>5.7676076833007066E-2</v>
      </c>
      <c r="U47" s="46">
        <v>5.6283801294580015E-2</v>
      </c>
      <c r="V47" s="46">
        <v>5.6365355445371426E-2</v>
      </c>
      <c r="W47" s="46">
        <v>5.527480447084477E-2</v>
      </c>
      <c r="X47" s="46">
        <v>5.5813813580921481E-2</v>
      </c>
      <c r="Y47" s="46">
        <f t="shared" si="0"/>
        <v>5.4770132972143865E-2</v>
      </c>
      <c r="Z47" s="79"/>
    </row>
    <row r="48" spans="1:26" ht="14.25" customHeight="1" x14ac:dyDescent="0.25">
      <c r="A48" s="107"/>
      <c r="B48" s="51"/>
      <c r="C48" s="37" t="s">
        <v>135</v>
      </c>
      <c r="D48" s="85" t="s">
        <v>35</v>
      </c>
      <c r="E48" s="42">
        <v>0.39785167317542902</v>
      </c>
      <c r="F48" s="42">
        <v>0.3993601264980054</v>
      </c>
      <c r="G48" s="42">
        <v>0.40096140021318283</v>
      </c>
      <c r="H48" s="42">
        <v>0.37332413798330055</v>
      </c>
      <c r="I48" s="42">
        <v>0.3753331007469079</v>
      </c>
      <c r="J48" s="42">
        <v>0.35960075566786071</v>
      </c>
      <c r="K48" s="42">
        <v>0.35916501190314204</v>
      </c>
      <c r="L48" s="42">
        <v>0.3446361354801129</v>
      </c>
      <c r="M48" s="42">
        <v>0.34326693183510743</v>
      </c>
      <c r="N48" s="42">
        <v>0.33457992698964167</v>
      </c>
      <c r="O48" s="42">
        <v>0.31997139750026071</v>
      </c>
      <c r="P48" s="42">
        <v>0.31649496071034616</v>
      </c>
      <c r="Q48" s="42">
        <v>0.29727243238978723</v>
      </c>
      <c r="R48" s="42">
        <v>0.27999554929144166</v>
      </c>
      <c r="S48" s="42">
        <v>0.2722234897452242</v>
      </c>
      <c r="T48" s="42">
        <v>0.25826157156117796</v>
      </c>
      <c r="U48" s="42">
        <v>0.25202724897295053</v>
      </c>
      <c r="V48" s="42">
        <v>0.25239243163285491</v>
      </c>
      <c r="W48" s="42">
        <v>0.24750916938593942</v>
      </c>
      <c r="X48" s="42">
        <v>0.22235700342855486</v>
      </c>
      <c r="Y48" s="42">
        <f t="shared" si="0"/>
        <v>0.21819907767836733</v>
      </c>
      <c r="Z48" s="79"/>
    </row>
    <row r="49" spans="1:26" ht="14.25" customHeight="1" x14ac:dyDescent="0.25">
      <c r="A49" s="107"/>
      <c r="B49" s="51"/>
      <c r="C49" s="12" t="s">
        <v>116</v>
      </c>
      <c r="D49" s="81" t="s">
        <v>35</v>
      </c>
      <c r="E49" s="46">
        <v>0.26374975180205185</v>
      </c>
      <c r="F49" s="46">
        <v>0.26060638239182277</v>
      </c>
      <c r="G49" s="46">
        <v>0.25915405416083376</v>
      </c>
      <c r="H49" s="46">
        <v>0.26279009403129572</v>
      </c>
      <c r="I49" s="46">
        <v>0.25872131169932</v>
      </c>
      <c r="J49" s="46">
        <v>0.28791931869444953</v>
      </c>
      <c r="K49" s="46">
        <v>0.29140036646941764</v>
      </c>
      <c r="L49" s="46">
        <v>0.29344877962993693</v>
      </c>
      <c r="M49" s="46">
        <v>0.29225586214870392</v>
      </c>
      <c r="N49" s="46">
        <v>0.28485978680573693</v>
      </c>
      <c r="O49" s="46">
        <v>0.27491471390051692</v>
      </c>
      <c r="P49" s="46">
        <v>0.27161659521929138</v>
      </c>
      <c r="Q49" s="46">
        <v>0.28869745226119053</v>
      </c>
      <c r="R49" s="46">
        <v>0.28632740358761571</v>
      </c>
      <c r="S49" s="46">
        <v>0.28310839597669224</v>
      </c>
      <c r="T49" s="46">
        <v>0.31273950304483622</v>
      </c>
      <c r="U49" s="46">
        <v>0.31410114647440696</v>
      </c>
      <c r="V49" s="46">
        <v>0.31447879215005536</v>
      </c>
      <c r="W49" s="46">
        <v>0.32519572105146105</v>
      </c>
      <c r="X49" s="46">
        <v>0.34885515801199785</v>
      </c>
      <c r="Y49" s="46">
        <f t="shared" si="0"/>
        <v>0.34866994241369553</v>
      </c>
      <c r="Z49" s="79"/>
    </row>
    <row r="50" spans="1:26" ht="14.25" customHeight="1" x14ac:dyDescent="0.25">
      <c r="A50" s="107"/>
      <c r="B50" s="51" t="s">
        <v>114</v>
      </c>
      <c r="C50" s="12" t="s">
        <v>117</v>
      </c>
      <c r="D50" s="81" t="s">
        <v>35</v>
      </c>
      <c r="E50" s="46">
        <v>9.4396053041196915E-2</v>
      </c>
      <c r="F50" s="46">
        <v>9.7237875235037172E-2</v>
      </c>
      <c r="G50" s="46">
        <v>9.6091144845833434E-2</v>
      </c>
      <c r="H50" s="46">
        <v>0.13308374526101596</v>
      </c>
      <c r="I50" s="46">
        <v>0.13747495296072951</v>
      </c>
      <c r="J50" s="46">
        <v>0.12622843165148548</v>
      </c>
      <c r="K50" s="46">
        <v>0.11664685091938319</v>
      </c>
      <c r="L50" s="46">
        <v>0.12884815135094543</v>
      </c>
      <c r="M50" s="46">
        <v>0.12914731654006698</v>
      </c>
      <c r="N50" s="46">
        <v>0.13303864541582</v>
      </c>
      <c r="O50" s="46">
        <v>0.1484082410952374</v>
      </c>
      <c r="P50" s="46">
        <v>0.15458672779381641</v>
      </c>
      <c r="Q50" s="46">
        <v>0.16613085200865352</v>
      </c>
      <c r="R50" s="46">
        <v>0.18779353735943241</v>
      </c>
      <c r="S50" s="46">
        <v>0.18657882639947337</v>
      </c>
      <c r="T50" s="46">
        <v>0.15013808071089477</v>
      </c>
      <c r="U50" s="46">
        <v>0.13854268924113311</v>
      </c>
      <c r="V50" s="46">
        <v>0.13576160938257506</v>
      </c>
      <c r="W50" s="46">
        <v>0.12086199983638557</v>
      </c>
      <c r="X50" s="46">
        <v>0.11120595211400025</v>
      </c>
      <c r="Y50" s="46">
        <f t="shared" si="0"/>
        <v>0.10054735046838968</v>
      </c>
      <c r="Z50" s="79"/>
    </row>
    <row r="51" spans="1:26" ht="14.25" customHeight="1" x14ac:dyDescent="0.25">
      <c r="A51" s="107"/>
      <c r="B51" s="51" t="s">
        <v>140</v>
      </c>
      <c r="C51" s="12" t="s">
        <v>118</v>
      </c>
      <c r="D51" s="81" t="s">
        <v>35</v>
      </c>
      <c r="E51" s="46">
        <v>0.18637126931021489</v>
      </c>
      <c r="F51" s="46">
        <v>0.18512611431361267</v>
      </c>
      <c r="G51" s="46">
        <v>0.1862600904459123</v>
      </c>
      <c r="H51" s="46">
        <v>0.16816880540656268</v>
      </c>
      <c r="I51" s="46">
        <v>0.16294757251809514</v>
      </c>
      <c r="J51" s="46">
        <v>0.15611751293756171</v>
      </c>
      <c r="K51" s="46">
        <v>0.14845945841054392</v>
      </c>
      <c r="L51" s="46">
        <v>0.14212075896674325</v>
      </c>
      <c r="M51" s="46">
        <v>0.1415430147415625</v>
      </c>
      <c r="N51" s="46">
        <v>0.13796100686119833</v>
      </c>
      <c r="O51" s="46">
        <v>0.13262025712455494</v>
      </c>
      <c r="P51" s="46">
        <v>0.13102880187448429</v>
      </c>
      <c r="Q51" s="46">
        <v>0.1231316081371979</v>
      </c>
      <c r="R51" s="46">
        <v>0.11550252993926673</v>
      </c>
      <c r="S51" s="46">
        <v>0.10703254044020807</v>
      </c>
      <c r="T51" s="46">
        <v>0.1013368178909065</v>
      </c>
      <c r="U51" s="46">
        <v>9.8890590955256069E-2</v>
      </c>
      <c r="V51" s="46">
        <v>9.9033881528762399E-2</v>
      </c>
      <c r="W51" s="46">
        <v>9.7117784395000531E-2</v>
      </c>
      <c r="X51" s="46">
        <v>8.7223068430132597E-2</v>
      </c>
      <c r="Y51" s="46">
        <f t="shared" si="0"/>
        <v>8.4143338217398514E-2</v>
      </c>
      <c r="Z51" s="79"/>
    </row>
    <row r="52" spans="1:26" ht="14.25" customHeight="1" x14ac:dyDescent="0.25">
      <c r="A52" s="107"/>
      <c r="B52" s="51"/>
      <c r="C52" s="12" t="s">
        <v>119</v>
      </c>
      <c r="D52" s="81" t="s">
        <v>35</v>
      </c>
      <c r="E52" s="46">
        <v>1.658107378204759E-4</v>
      </c>
      <c r="F52" s="46">
        <v>1.6592078361067685E-4</v>
      </c>
      <c r="G52" s="46">
        <v>1.0691728349453745E-3</v>
      </c>
      <c r="H52" s="46">
        <v>1.0102632989960267E-2</v>
      </c>
      <c r="I52" s="46">
        <v>1.4623424781997955E-2</v>
      </c>
      <c r="J52" s="46">
        <v>2.1359042700637387E-2</v>
      </c>
      <c r="K52" s="46">
        <v>3.7768487010081273E-2</v>
      </c>
      <c r="L52" s="46">
        <v>4.3000852750096699E-2</v>
      </c>
      <c r="M52" s="46">
        <v>4.4128527875057492E-2</v>
      </c>
      <c r="N52" s="46">
        <v>4.3889062266527133E-2</v>
      </c>
      <c r="O52" s="46">
        <v>5.3141060973974696E-2</v>
      </c>
      <c r="P52" s="46">
        <v>5.3994245765606394E-2</v>
      </c>
      <c r="Q52" s="46">
        <v>5.5395337054243356E-2</v>
      </c>
      <c r="R52" s="46">
        <v>4.691631183648709E-2</v>
      </c>
      <c r="S52" s="46">
        <v>4.162748073567852E-2</v>
      </c>
      <c r="T52" s="46">
        <v>4.0345316553483147E-2</v>
      </c>
      <c r="U52" s="46">
        <v>3.9260392729541051E-2</v>
      </c>
      <c r="V52" s="46">
        <v>3.9519625106253745E-2</v>
      </c>
      <c r="W52" s="46">
        <v>3.7931448761265078E-2</v>
      </c>
      <c r="X52" s="46">
        <v>3.5961822906768019E-2</v>
      </c>
      <c r="Y52" s="46">
        <f t="shared" si="0"/>
        <v>3.4913147220033997E-2</v>
      </c>
      <c r="Z52" s="79"/>
    </row>
    <row r="53" spans="1:26" ht="14.25" customHeight="1" x14ac:dyDescent="0.25">
      <c r="A53" s="107"/>
      <c r="B53" s="51"/>
      <c r="C53" s="37" t="s">
        <v>51</v>
      </c>
      <c r="D53" s="85" t="s">
        <v>35</v>
      </c>
      <c r="E53" s="42">
        <v>0.54468288489128414</v>
      </c>
      <c r="F53" s="42">
        <v>0.54313629272408337</v>
      </c>
      <c r="G53" s="42">
        <v>0.54257446228752482</v>
      </c>
      <c r="H53" s="42">
        <v>0.57414527768883461</v>
      </c>
      <c r="I53" s="42">
        <v>0.5737672619601426</v>
      </c>
      <c r="J53" s="42">
        <v>0.59162430598413407</v>
      </c>
      <c r="K53" s="42">
        <v>0.59427516280942605</v>
      </c>
      <c r="L53" s="42">
        <v>0.60741854269772222</v>
      </c>
      <c r="M53" s="42">
        <v>0.60707472130539097</v>
      </c>
      <c r="N53" s="42">
        <v>0.59974850134928237</v>
      </c>
      <c r="O53" s="42">
        <v>0.60908427309428392</v>
      </c>
      <c r="P53" s="42">
        <v>0.61122637065319851</v>
      </c>
      <c r="Q53" s="42">
        <v>0.63335524946128541</v>
      </c>
      <c r="R53" s="42">
        <v>0.63653978272280198</v>
      </c>
      <c r="S53" s="42">
        <v>0.61834724355205217</v>
      </c>
      <c r="T53" s="42">
        <v>0.60455971820012067</v>
      </c>
      <c r="U53" s="42">
        <v>0.59079481940033718</v>
      </c>
      <c r="V53" s="42">
        <v>0.58879390816764665</v>
      </c>
      <c r="W53" s="42">
        <v>0.58110695404411228</v>
      </c>
      <c r="X53" s="42">
        <v>0.58324600146289873</v>
      </c>
      <c r="Y53" s="42">
        <f t="shared" si="0"/>
        <v>0.56827377831951775</v>
      </c>
      <c r="Z53" s="79"/>
    </row>
    <row r="54" spans="1:26" ht="14.25" customHeight="1" x14ac:dyDescent="0.25">
      <c r="A54" s="107"/>
      <c r="B54" s="51" t="s">
        <v>129</v>
      </c>
      <c r="C54" s="37" t="s">
        <v>52</v>
      </c>
      <c r="D54" s="85" t="s">
        <v>35</v>
      </c>
      <c r="E54" s="42">
        <v>4.1659947877394569E-2</v>
      </c>
      <c r="F54" s="42">
        <v>4.1687596882182557E-2</v>
      </c>
      <c r="G54" s="42">
        <v>4.0934045680765765E-2</v>
      </c>
      <c r="H54" s="42">
        <v>3.8082390588912905E-2</v>
      </c>
      <c r="I54" s="42">
        <v>3.6900024871718257E-2</v>
      </c>
      <c r="J54" s="42">
        <v>3.5353334948681731E-2</v>
      </c>
      <c r="K54" s="42">
        <v>3.3566199258176971E-2</v>
      </c>
      <c r="L54" s="42">
        <v>3.2088282432058086E-2</v>
      </c>
      <c r="M54" s="42">
        <v>3.211683251459789E-2</v>
      </c>
      <c r="N54" s="42">
        <v>4.7266026119546965E-2</v>
      </c>
      <c r="O54" s="42">
        <v>5.1553026353032314E-2</v>
      </c>
      <c r="P54" s="42">
        <v>5.1661472701680429E-2</v>
      </c>
      <c r="Q54" s="42">
        <v>4.8547801105495669E-2</v>
      </c>
      <c r="R54" s="42">
        <v>4.5539840951521637E-2</v>
      </c>
      <c r="S54" s="42">
        <v>4.4185667216918793E-2</v>
      </c>
      <c r="T54" s="42">
        <v>4.1834332752761785E-2</v>
      </c>
      <c r="U54" s="42">
        <v>4.0824470061741253E-2</v>
      </c>
      <c r="V54" s="42">
        <v>4.0883623937471303E-2</v>
      </c>
      <c r="W54" s="42">
        <v>4.0092611877405426E-2</v>
      </c>
      <c r="X54" s="42">
        <v>4.0483572700434442E-2</v>
      </c>
      <c r="Y54" s="42">
        <f t="shared" si="0"/>
        <v>3.9726557239732702E-2</v>
      </c>
      <c r="Z54" s="79"/>
    </row>
    <row r="55" spans="1:26" ht="14.25" customHeight="1" x14ac:dyDescent="0.25">
      <c r="A55" s="107"/>
      <c r="B55" s="51"/>
      <c r="C55" s="12" t="s">
        <v>53</v>
      </c>
      <c r="D55" s="81" t="s">
        <v>35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8.7943619275327698E-6</v>
      </c>
      <c r="K55" s="46">
        <v>2.1876478123488476E-4</v>
      </c>
      <c r="L55" s="46">
        <v>3.4850109725961596E-3</v>
      </c>
      <c r="M55" s="46">
        <v>5.1561825665762864E-3</v>
      </c>
      <c r="N55" s="46">
        <v>5.806747536719426E-3</v>
      </c>
      <c r="O55" s="46">
        <v>5.5834463032758807E-3</v>
      </c>
      <c r="P55" s="46">
        <v>5.5149725986665685E-3</v>
      </c>
      <c r="Q55" s="46">
        <v>6.2697202966157228E-3</v>
      </c>
      <c r="R55" s="46">
        <v>1.9467957648933963E-2</v>
      </c>
      <c r="S55" s="46">
        <v>4.0498492878504128E-2</v>
      </c>
      <c r="T55" s="46">
        <v>6.252731001259583E-2</v>
      </c>
      <c r="U55" s="46">
        <v>7.6561932012113906E-2</v>
      </c>
      <c r="V55" s="46">
        <v>7.7092188006058604E-2</v>
      </c>
      <c r="W55" s="46">
        <v>8.4649438996989276E-2</v>
      </c>
      <c r="X55" s="46">
        <v>9.9638376738374362E-2</v>
      </c>
      <c r="Y55" s="46">
        <f t="shared" si="0"/>
        <v>0.10176370747880392</v>
      </c>
      <c r="Z55" s="79"/>
    </row>
    <row r="56" spans="1:26" ht="14.25" customHeight="1" x14ac:dyDescent="0.25">
      <c r="A56" s="107"/>
      <c r="B56" s="51"/>
      <c r="C56" s="12" t="s">
        <v>54</v>
      </c>
      <c r="D56" s="81" t="s">
        <v>35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v>5.2689996329986777E-4</v>
      </c>
      <c r="O56" s="46">
        <v>4.9458489132539821E-4</v>
      </c>
      <c r="P56" s="46">
        <v>4.88649827263758E-4</v>
      </c>
      <c r="Q56" s="46">
        <v>5.9516008021922467E-4</v>
      </c>
      <c r="R56" s="46">
        <v>5.894230696375009E-4</v>
      </c>
      <c r="S56" s="46">
        <v>1.0996062767515259E-3</v>
      </c>
      <c r="T56" s="46">
        <v>1.3009166438643729E-3</v>
      </c>
      <c r="U56" s="46">
        <v>1.6044830897484913E-3</v>
      </c>
      <c r="V56" s="46">
        <v>1.6911377092539768E-3</v>
      </c>
      <c r="W56" s="46">
        <v>1.7849322186993264E-3</v>
      </c>
      <c r="X56" s="46">
        <v>1.8992216473759937E-3</v>
      </c>
      <c r="Y56" s="46">
        <f t="shared" si="0"/>
        <v>2.7012474387971639E-3</v>
      </c>
      <c r="Z56" s="79"/>
    </row>
    <row r="57" spans="1:26" ht="14.25" customHeight="1" x14ac:dyDescent="0.25">
      <c r="A57" s="107"/>
      <c r="B57" s="51"/>
      <c r="C57" s="12" t="s">
        <v>55</v>
      </c>
      <c r="D57" s="81" t="s">
        <v>35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5.0354036714437371E-5</v>
      </c>
      <c r="T57" s="46">
        <v>1.2776753478906165E-3</v>
      </c>
      <c r="U57" s="46">
        <v>1.6353049830999486E-3</v>
      </c>
      <c r="V57" s="46">
        <v>1.6376745087203605E-3</v>
      </c>
      <c r="W57" s="46">
        <v>1.6745233336830868E-3</v>
      </c>
      <c r="X57" s="46">
        <v>1.6908523526734157E-3</v>
      </c>
      <c r="Y57" s="46">
        <f t="shared" si="0"/>
        <v>1.7271432007929374E-3</v>
      </c>
      <c r="Z57" s="79"/>
    </row>
    <row r="58" spans="1:26" ht="14.25" customHeight="1" x14ac:dyDescent="0.25">
      <c r="A58" s="107"/>
      <c r="B58" s="51"/>
      <c r="C58" s="12" t="s">
        <v>56</v>
      </c>
      <c r="D58" s="81" t="s">
        <v>35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4.0079043890360564E-5</v>
      </c>
      <c r="L58" s="46">
        <v>1.9795756326244793E-4</v>
      </c>
      <c r="M58" s="46">
        <v>2.6075052140564622E-4</v>
      </c>
      <c r="N58" s="46">
        <v>2.5415174700346564E-4</v>
      </c>
      <c r="O58" s="46">
        <v>2.4431301860652194E-4</v>
      </c>
      <c r="P58" s="46">
        <v>2.4138123997366354E-4</v>
      </c>
      <c r="Q58" s="46">
        <v>2.2683303080630454E-4</v>
      </c>
      <c r="R58" s="46">
        <v>4.9465868265461937E-3</v>
      </c>
      <c r="S58" s="46">
        <v>1.1058501773041162E-2</v>
      </c>
      <c r="T58" s="46">
        <v>1.8091501530504896E-2</v>
      </c>
      <c r="U58" s="46">
        <v>2.4662864896615344E-2</v>
      </c>
      <c r="V58" s="46">
        <v>2.5294966028503969E-2</v>
      </c>
      <c r="W58" s="46">
        <v>3.1204616676822318E-2</v>
      </c>
      <c r="X58" s="46">
        <v>3.8590417822072814E-2</v>
      </c>
      <c r="Y58" s="46">
        <f t="shared" si="0"/>
        <v>5.5771785483743945E-2</v>
      </c>
      <c r="Z58" s="79"/>
    </row>
    <row r="59" spans="1:26" ht="14.25" customHeight="1" x14ac:dyDescent="0.25">
      <c r="A59" s="107"/>
      <c r="B59" s="51"/>
      <c r="C59" s="12" t="s">
        <v>137</v>
      </c>
      <c r="D59" s="81" t="s">
        <v>35</v>
      </c>
      <c r="E59" s="46">
        <v>1.5805494055892315E-2</v>
      </c>
      <c r="F59" s="46">
        <v>1.5815983895728747E-2</v>
      </c>
      <c r="G59" s="46">
        <v>1.553009181852655E-2</v>
      </c>
      <c r="H59" s="46">
        <v>1.4448193738951846E-2</v>
      </c>
      <c r="I59" s="46">
        <v>1.39996124212313E-2</v>
      </c>
      <c r="J59" s="46">
        <v>1.3412809037395881E-2</v>
      </c>
      <c r="K59" s="46">
        <v>1.2734782204129652E-2</v>
      </c>
      <c r="L59" s="46">
        <v>1.217407085424819E-2</v>
      </c>
      <c r="M59" s="46">
        <v>1.2124581256921814E-2</v>
      </c>
      <c r="N59" s="46">
        <v>1.1817746294506272E-2</v>
      </c>
      <c r="O59" s="46">
        <v>1.306895883921522E-2</v>
      </c>
      <c r="P59" s="46">
        <v>1.4372192268870914E-2</v>
      </c>
      <c r="Q59" s="46">
        <v>1.3732803635790467E-2</v>
      </c>
      <c r="R59" s="46">
        <v>1.29208594891172E-2</v>
      </c>
      <c r="S59" s="46">
        <v>1.2536644520793472E-2</v>
      </c>
      <c r="T59" s="46">
        <v>1.2146973951083962E-2</v>
      </c>
      <c r="U59" s="46">
        <v>1.1888876583393354E-2</v>
      </c>
      <c r="V59" s="46">
        <v>1.221407000949036E-2</v>
      </c>
      <c r="W59" s="46">
        <v>1.1977753466348965E-2</v>
      </c>
      <c r="X59" s="46">
        <v>1.2094553847615258E-2</v>
      </c>
      <c r="Y59" s="46">
        <f t="shared" si="0"/>
        <v>1.1836703160244232E-2</v>
      </c>
      <c r="Z59" s="79"/>
    </row>
    <row r="60" spans="1:26" ht="14.25" customHeight="1" x14ac:dyDescent="0.25">
      <c r="A60" s="107"/>
      <c r="B60" s="51"/>
      <c r="C60" s="37" t="s">
        <v>138</v>
      </c>
      <c r="D60" s="87" t="s">
        <v>35</v>
      </c>
      <c r="E60" s="42">
        <v>1.5805494055892315E-2</v>
      </c>
      <c r="F60" s="42">
        <v>1.5815983895728747E-2</v>
      </c>
      <c r="G60" s="42">
        <v>1.553009181852655E-2</v>
      </c>
      <c r="H60" s="42">
        <v>1.4448193738951846E-2</v>
      </c>
      <c r="I60" s="42">
        <v>1.39996124212313E-2</v>
      </c>
      <c r="J60" s="42">
        <v>1.3421603399323414E-2</v>
      </c>
      <c r="K60" s="42">
        <v>1.2993626029254898E-2</v>
      </c>
      <c r="L60" s="42">
        <v>1.5857039390106797E-2</v>
      </c>
      <c r="M60" s="42">
        <v>1.7541514344903746E-2</v>
      </c>
      <c r="N60" s="42">
        <v>1.8405545541529036E-2</v>
      </c>
      <c r="O60" s="42">
        <v>1.9391303052423019E-2</v>
      </c>
      <c r="P60" s="42">
        <v>2.0617195934774905E-2</v>
      </c>
      <c r="Q60" s="42">
        <v>2.0824517043431721E-2</v>
      </c>
      <c r="R60" s="42">
        <v>3.7924827034234859E-2</v>
      </c>
      <c r="S60" s="42">
        <v>6.5243599485804729E-2</v>
      </c>
      <c r="T60" s="42">
        <v>9.5344377485939658E-2</v>
      </c>
      <c r="U60" s="42">
        <v>0.11635346156497105</v>
      </c>
      <c r="V60" s="42">
        <v>0.11793003626202728</v>
      </c>
      <c r="W60" s="42">
        <v>0.13129126469254296</v>
      </c>
      <c r="X60" s="42">
        <v>0.15391342240811184</v>
      </c>
      <c r="Y60" s="42">
        <f t="shared" si="0"/>
        <v>0.17380058676238219</v>
      </c>
      <c r="Z60" s="79"/>
    </row>
    <row r="61" spans="1:26" ht="14.25" customHeight="1" x14ac:dyDescent="0.25">
      <c r="A61" s="108"/>
      <c r="B61" s="51"/>
      <c r="C61" s="14" t="s">
        <v>14</v>
      </c>
      <c r="D61" s="84" t="s">
        <v>1</v>
      </c>
      <c r="E61" s="15">
        <v>1</v>
      </c>
      <c r="F61" s="15">
        <v>1</v>
      </c>
      <c r="G61" s="15">
        <v>1</v>
      </c>
      <c r="H61" s="15">
        <v>1</v>
      </c>
      <c r="I61" s="15">
        <v>1</v>
      </c>
      <c r="J61" s="15">
        <v>1</v>
      </c>
      <c r="K61" s="15">
        <v>1</v>
      </c>
      <c r="L61" s="15">
        <v>1</v>
      </c>
      <c r="M61" s="15">
        <v>1</v>
      </c>
      <c r="N61" s="15">
        <v>1</v>
      </c>
      <c r="O61" s="15">
        <v>1</v>
      </c>
      <c r="P61" s="15">
        <v>1</v>
      </c>
      <c r="Q61" s="15">
        <v>1</v>
      </c>
      <c r="R61" s="15">
        <v>1</v>
      </c>
      <c r="S61" s="15">
        <v>1</v>
      </c>
      <c r="T61" s="15">
        <v>1</v>
      </c>
      <c r="U61" s="15">
        <v>1</v>
      </c>
      <c r="V61" s="15">
        <v>1</v>
      </c>
      <c r="W61" s="15">
        <v>1</v>
      </c>
      <c r="X61" s="15">
        <v>1</v>
      </c>
      <c r="Y61" s="15">
        <f t="shared" si="0"/>
        <v>1</v>
      </c>
      <c r="Z61" s="79"/>
    </row>
    <row r="62" spans="1:26" ht="14.25" customHeight="1" x14ac:dyDescent="0.25">
      <c r="A62" s="103" t="s">
        <v>141</v>
      </c>
      <c r="B62" s="73"/>
      <c r="C62" s="12" t="s">
        <v>131</v>
      </c>
      <c r="D62" s="83" t="s">
        <v>2</v>
      </c>
      <c r="E62" s="13">
        <v>15851.601595</v>
      </c>
      <c r="F62" s="13">
        <v>19383.752505999997</v>
      </c>
      <c r="G62" s="13">
        <v>10940.155665</v>
      </c>
      <c r="H62" s="13">
        <v>12028.743334000001</v>
      </c>
      <c r="I62" s="13">
        <v>14531.913690000001</v>
      </c>
      <c r="J62" s="13">
        <v>10980.706299000001</v>
      </c>
      <c r="K62" s="13">
        <v>9825.9500159999989</v>
      </c>
      <c r="L62" s="13">
        <v>9623.2566990000014</v>
      </c>
      <c r="M62" s="13">
        <v>10769.238562999999</v>
      </c>
      <c r="N62" s="13">
        <v>10285.093256</v>
      </c>
      <c r="O62" s="13">
        <v>12062.531247000001</v>
      </c>
      <c r="P62" s="13">
        <v>7205.4653389999994</v>
      </c>
      <c r="Q62" s="13">
        <v>8592.9003460000004</v>
      </c>
      <c r="R62" s="13">
        <v>10824.232023999999</v>
      </c>
      <c r="S62" s="13">
        <v>9594.3086000000021</v>
      </c>
      <c r="T62" s="13">
        <v>9440.9021999999986</v>
      </c>
      <c r="U62" s="13">
        <v>6920.1755750000002</v>
      </c>
      <c r="V62" s="13">
        <v>7692.7093880000002</v>
      </c>
      <c r="W62" s="13">
        <v>12770.437489999998</v>
      </c>
      <c r="X62" s="13">
        <v>11456.951248000001</v>
      </c>
      <c r="Y62" s="13">
        <v>7920</v>
      </c>
      <c r="Z62" s="79"/>
    </row>
    <row r="63" spans="1:26" ht="14.25" customHeight="1" x14ac:dyDescent="0.25">
      <c r="A63" s="104"/>
      <c r="B63" s="73"/>
      <c r="C63" s="12" t="s">
        <v>132</v>
      </c>
      <c r="D63" s="83" t="s">
        <v>2</v>
      </c>
      <c r="E63" s="13">
        <v>3795.8579569999997</v>
      </c>
      <c r="F63" s="13">
        <v>2090.8515870000001</v>
      </c>
      <c r="G63" s="13">
        <v>4741.8587939999998</v>
      </c>
      <c r="H63" s="13">
        <v>3175.21675</v>
      </c>
      <c r="I63" s="13">
        <v>3593.9926219999998</v>
      </c>
      <c r="J63" s="13">
        <v>4790.1217429999997</v>
      </c>
      <c r="K63" s="13">
        <v>4544.5894550000003</v>
      </c>
      <c r="L63" s="13">
        <v>2563.7541039999996</v>
      </c>
      <c r="M63" s="13">
        <v>4980.3524960000004</v>
      </c>
      <c r="N63" s="13">
        <v>5667.8970239999999</v>
      </c>
      <c r="O63" s="13">
        <v>5258.8426090000003</v>
      </c>
      <c r="P63" s="13">
        <v>4816.3217410000007</v>
      </c>
      <c r="Q63" s="13">
        <v>5160.3219960000006</v>
      </c>
      <c r="R63" s="13">
        <v>4379.1914369999995</v>
      </c>
      <c r="S63" s="13">
        <v>4709.2964000000002</v>
      </c>
      <c r="T63" s="13">
        <v>2534.4111000000007</v>
      </c>
      <c r="U63" s="13">
        <v>2780.6296640000005</v>
      </c>
      <c r="V63" s="13">
        <v>3798.3457209999997</v>
      </c>
      <c r="W63" s="13">
        <v>3189.5769</v>
      </c>
      <c r="X63" s="13">
        <v>5346.2685439999996</v>
      </c>
      <c r="Y63" s="13">
        <v>4180</v>
      </c>
      <c r="Z63" s="79"/>
    </row>
    <row r="64" spans="1:26" ht="14.25" customHeight="1" x14ac:dyDescent="0.25">
      <c r="A64" s="104"/>
      <c r="B64" s="73"/>
      <c r="C64" s="12" t="s">
        <v>139</v>
      </c>
      <c r="D64" s="83" t="s">
        <v>2</v>
      </c>
      <c r="E64" s="13">
        <v>12299.152</v>
      </c>
      <c r="F64" s="13">
        <v>12609.678</v>
      </c>
      <c r="G64" s="13">
        <v>14152.272000000001</v>
      </c>
      <c r="H64" s="13">
        <v>13944.423000000001</v>
      </c>
      <c r="I64" s="13">
        <v>14516.454</v>
      </c>
      <c r="J64" s="13">
        <v>17382.338</v>
      </c>
      <c r="K64" s="13">
        <v>18691.691999999999</v>
      </c>
      <c r="L64" s="13">
        <v>17540.775000000001</v>
      </c>
      <c r="M64" s="13">
        <v>17758.098000000002</v>
      </c>
      <c r="N64" s="13">
        <v>18501.784</v>
      </c>
      <c r="O64" s="13">
        <v>17331.440999999999</v>
      </c>
      <c r="P64" s="13">
        <v>19217.715339999999</v>
      </c>
      <c r="Q64" s="13">
        <v>19591.122043000003</v>
      </c>
      <c r="R64" s="13">
        <v>18993.338189000002</v>
      </c>
      <c r="S64" s="13">
        <v>16077.7886</v>
      </c>
      <c r="T64" s="13">
        <v>13192.999999999998</v>
      </c>
      <c r="U64" s="13">
        <v>11058.583978000002</v>
      </c>
      <c r="V64" s="13">
        <v>14132.681004999999</v>
      </c>
      <c r="W64" s="13">
        <v>18033.434217999999</v>
      </c>
      <c r="X64" s="13">
        <v>10964.503948</v>
      </c>
      <c r="Y64" s="13">
        <v>13022</v>
      </c>
      <c r="Z64" s="79"/>
    </row>
    <row r="65" spans="1:26" ht="14.25" customHeight="1" x14ac:dyDescent="0.25">
      <c r="A65" s="104"/>
      <c r="B65" s="73"/>
      <c r="C65" s="12" t="s">
        <v>134</v>
      </c>
      <c r="D65" s="83" t="s">
        <v>2</v>
      </c>
      <c r="E65" s="13">
        <v>5945.3165880000015</v>
      </c>
      <c r="F65" s="13">
        <v>6995.6738490000016</v>
      </c>
      <c r="G65" s="13">
        <v>5591.9080450000019</v>
      </c>
      <c r="H65" s="13">
        <v>5972.8940990000037</v>
      </c>
      <c r="I65" s="13">
        <v>6157.1113689999984</v>
      </c>
      <c r="J65" s="13">
        <v>5645.9942649999994</v>
      </c>
      <c r="K65" s="13">
        <v>5021.334288000071</v>
      </c>
      <c r="L65" s="13">
        <v>5444.7560999999996</v>
      </c>
      <c r="M65" s="13">
        <v>5547.8750619999946</v>
      </c>
      <c r="N65" s="13">
        <v>4751.9261000000079</v>
      </c>
      <c r="O65" s="13">
        <v>5187.5413190000072</v>
      </c>
      <c r="P65" s="13">
        <v>4952.4586270000018</v>
      </c>
      <c r="Q65" s="13">
        <v>6239.6569420000014</v>
      </c>
      <c r="R65" s="13">
        <v>5754.8919400000013</v>
      </c>
      <c r="S65" s="13">
        <v>4988.7644999999975</v>
      </c>
      <c r="T65" s="13">
        <v>3924.7172999999966</v>
      </c>
      <c r="U65" s="13">
        <v>3356.8448900000039</v>
      </c>
      <c r="V65" s="13">
        <v>4562.5886620000019</v>
      </c>
      <c r="W65" s="13">
        <v>5338.3671480000003</v>
      </c>
      <c r="X65" s="13">
        <v>5656.3168459999979</v>
      </c>
      <c r="Y65" s="13">
        <v>5022.1563559999995</v>
      </c>
      <c r="Z65" s="79"/>
    </row>
    <row r="66" spans="1:26" ht="14.25" customHeight="1" x14ac:dyDescent="0.25">
      <c r="A66" s="104"/>
      <c r="B66" s="73"/>
      <c r="C66" s="37" t="s">
        <v>135</v>
      </c>
      <c r="D66" s="80" t="s">
        <v>2</v>
      </c>
      <c r="E66" s="38">
        <v>37891.928140000004</v>
      </c>
      <c r="F66" s="38">
        <v>41079.955942000001</v>
      </c>
      <c r="G66" s="38">
        <v>35426.194504000006</v>
      </c>
      <c r="H66" s="38">
        <v>35121.277183000006</v>
      </c>
      <c r="I66" s="38">
        <v>38799.471680999995</v>
      </c>
      <c r="J66" s="38">
        <v>38799.160306999998</v>
      </c>
      <c r="K66" s="38">
        <v>38083.56575900007</v>
      </c>
      <c r="L66" s="38">
        <v>35172.541903000005</v>
      </c>
      <c r="M66" s="38">
        <v>39055.564120999989</v>
      </c>
      <c r="N66" s="38">
        <v>39206.700380000009</v>
      </c>
      <c r="O66" s="38">
        <v>39840.356175000008</v>
      </c>
      <c r="P66" s="38">
        <v>36191.961046999997</v>
      </c>
      <c r="Q66" s="38">
        <v>39584.001327000005</v>
      </c>
      <c r="R66" s="38">
        <v>39951.653590000002</v>
      </c>
      <c r="S66" s="38">
        <v>35370.158100000001</v>
      </c>
      <c r="T66" s="38">
        <v>29093.030599999995</v>
      </c>
      <c r="U66" s="38">
        <v>24116.234107000007</v>
      </c>
      <c r="V66" s="38">
        <v>30186.324776000001</v>
      </c>
      <c r="W66" s="38">
        <v>39331.815755999996</v>
      </c>
      <c r="X66" s="38">
        <v>33424.040586000003</v>
      </c>
      <c r="Y66" s="38">
        <f>+SUM(Y62:Y65)</f>
        <v>30144.156356</v>
      </c>
      <c r="Z66" s="79"/>
    </row>
    <row r="67" spans="1:26" ht="14.25" customHeight="1" x14ac:dyDescent="0.25">
      <c r="A67" s="104"/>
      <c r="B67" s="73"/>
      <c r="C67" s="12" t="s">
        <v>116</v>
      </c>
      <c r="D67" s="83" t="s">
        <v>2</v>
      </c>
      <c r="E67" s="13">
        <v>32811.773183999998</v>
      </c>
      <c r="F67" s="13">
        <v>33036.071852000001</v>
      </c>
      <c r="G67" s="13">
        <v>36510.887450999995</v>
      </c>
      <c r="H67" s="13">
        <v>38008.225075000002</v>
      </c>
      <c r="I67" s="13">
        <v>35590.768989000011</v>
      </c>
      <c r="J67" s="13">
        <v>41104.387663000001</v>
      </c>
      <c r="K67" s="13">
        <v>44876.817071000005</v>
      </c>
      <c r="L67" s="13">
        <v>51838.040936000012</v>
      </c>
      <c r="M67" s="13">
        <v>51640.869919000004</v>
      </c>
      <c r="N67" s="13">
        <v>51038.976368000003</v>
      </c>
      <c r="O67" s="13">
        <v>52543.710790000005</v>
      </c>
      <c r="P67" s="13">
        <v>53910.912530999994</v>
      </c>
      <c r="Q67" s="13">
        <v>61051.045096999995</v>
      </c>
      <c r="R67" s="13">
        <v>62499.387856000008</v>
      </c>
      <c r="S67" s="13">
        <v>60630.740870000001</v>
      </c>
      <c r="T67" s="13">
        <v>67216.140072999944</v>
      </c>
      <c r="U67" s="13">
        <v>74133.645460999978</v>
      </c>
      <c r="V67" s="13">
        <v>64571.216404999977</v>
      </c>
      <c r="W67" s="13">
        <v>60264.828647000082</v>
      </c>
      <c r="X67" s="13">
        <v>64850.663905999878</v>
      </c>
      <c r="Y67" s="13">
        <v>66923.083556999933</v>
      </c>
      <c r="Z67" s="79"/>
    </row>
    <row r="68" spans="1:26" ht="14.25" customHeight="1" x14ac:dyDescent="0.25">
      <c r="A68" s="104"/>
      <c r="B68" s="73" t="s">
        <v>142</v>
      </c>
      <c r="C68" s="12" t="s">
        <v>117</v>
      </c>
      <c r="D68" s="83" t="s">
        <v>2</v>
      </c>
      <c r="E68" s="13">
        <v>5790.523835</v>
      </c>
      <c r="F68" s="13">
        <v>6677.132571000001</v>
      </c>
      <c r="G68" s="13">
        <v>8118.2531040000013</v>
      </c>
      <c r="H68" s="13">
        <v>10680.525995000002</v>
      </c>
      <c r="I68" s="13">
        <v>10150.072390000001</v>
      </c>
      <c r="J68" s="13">
        <v>9485.8873550000008</v>
      </c>
      <c r="K68" s="13">
        <v>9371.8357599999999</v>
      </c>
      <c r="L68" s="13">
        <v>10393.002408</v>
      </c>
      <c r="M68" s="13">
        <v>12878.214769000002</v>
      </c>
      <c r="N68" s="13">
        <v>12136.277424000002</v>
      </c>
      <c r="O68" s="13">
        <v>14146.973708999998</v>
      </c>
      <c r="P68" s="13">
        <v>17574.625693000005</v>
      </c>
      <c r="Q68" s="13">
        <v>13145.030435999999</v>
      </c>
      <c r="R68" s="13">
        <v>14038.830898</v>
      </c>
      <c r="S68" s="13">
        <v>12547.80746</v>
      </c>
      <c r="T68" s="13">
        <v>8403.0252759999948</v>
      </c>
      <c r="U68" s="13">
        <v>8109.7437570000002</v>
      </c>
      <c r="V68" s="13">
        <v>8139.398643999999</v>
      </c>
      <c r="W68" s="13">
        <v>6434.3028440000007</v>
      </c>
      <c r="X68" s="13">
        <v>5433.3872949999977</v>
      </c>
      <c r="Y68" s="13">
        <v>3987.5613210000047</v>
      </c>
      <c r="Z68" s="79"/>
    </row>
    <row r="69" spans="1:26" ht="14.25" customHeight="1" x14ac:dyDescent="0.25">
      <c r="A69" s="104"/>
      <c r="B69" s="73"/>
      <c r="C69" s="12" t="s">
        <v>118</v>
      </c>
      <c r="D69" s="83" t="s">
        <v>2</v>
      </c>
      <c r="E69" s="13">
        <v>12748.353960999999</v>
      </c>
      <c r="F69" s="13">
        <v>14215.004038000001</v>
      </c>
      <c r="G69" s="13">
        <v>16380.358218000001</v>
      </c>
      <c r="H69" s="13">
        <v>18024.500885000001</v>
      </c>
      <c r="I69" s="13">
        <v>15038.921682</v>
      </c>
      <c r="J69" s="13">
        <v>14651.636662000001</v>
      </c>
      <c r="K69" s="13">
        <v>17682.096191000001</v>
      </c>
      <c r="L69" s="13">
        <v>18391.681708999997</v>
      </c>
      <c r="M69" s="13">
        <v>16107.431350999999</v>
      </c>
      <c r="N69" s="13">
        <v>17799.406918000001</v>
      </c>
      <c r="O69" s="13">
        <v>17281.817992</v>
      </c>
      <c r="P69" s="13">
        <v>16101.126531</v>
      </c>
      <c r="Q69" s="13">
        <v>11506.242777000001</v>
      </c>
      <c r="R69" s="13">
        <v>8727.1532330000009</v>
      </c>
      <c r="S69" s="13">
        <v>5066.1227959999997</v>
      </c>
      <c r="T69" s="13">
        <v>4703.208743000001</v>
      </c>
      <c r="U69" s="13">
        <v>5510.7237520000017</v>
      </c>
      <c r="V69" s="13">
        <v>6718.8738960000019</v>
      </c>
      <c r="W69" s="13">
        <v>4158.5759040000003</v>
      </c>
      <c r="X69" s="13">
        <v>3631.5593479999975</v>
      </c>
      <c r="Y69" s="13">
        <v>3264.4825139999989</v>
      </c>
      <c r="Z69" s="79"/>
    </row>
    <row r="70" spans="1:26" ht="14.25" customHeight="1" x14ac:dyDescent="0.25">
      <c r="A70" s="104"/>
      <c r="B70" s="73" t="s">
        <v>123</v>
      </c>
      <c r="C70" s="12" t="s">
        <v>119</v>
      </c>
      <c r="D70" s="83" t="s">
        <v>2</v>
      </c>
      <c r="E70" s="13">
        <v>0</v>
      </c>
      <c r="F70" s="13">
        <v>0</v>
      </c>
      <c r="G70" s="13">
        <v>2.8346369999999999</v>
      </c>
      <c r="H70" s="13">
        <v>163.53649900000002</v>
      </c>
      <c r="I70" s="13">
        <v>583.13413200000002</v>
      </c>
      <c r="J70" s="13">
        <v>1149.6609990000002</v>
      </c>
      <c r="K70" s="13">
        <v>1544.223659</v>
      </c>
      <c r="L70" s="13">
        <v>1708.7187349999999</v>
      </c>
      <c r="M70" s="13">
        <v>2085.0716499999999</v>
      </c>
      <c r="N70" s="13">
        <v>2073.5167780000002</v>
      </c>
      <c r="O70" s="13">
        <v>2374.4596579999998</v>
      </c>
      <c r="P70" s="13">
        <v>2511.9229200000004</v>
      </c>
      <c r="Q70" s="13">
        <v>2827.4002400000004</v>
      </c>
      <c r="R70" s="13">
        <v>2461.6632300000006</v>
      </c>
      <c r="S70" s="13">
        <v>1892.5318399999999</v>
      </c>
      <c r="T70" s="13">
        <v>2013.4312909999971</v>
      </c>
      <c r="U70" s="13">
        <v>2320.2385189999995</v>
      </c>
      <c r="V70" s="13">
        <v>2321.4043100000035</v>
      </c>
      <c r="W70" s="13">
        <v>2162.3881150000007</v>
      </c>
      <c r="X70" s="13">
        <v>1472.5839529999998</v>
      </c>
      <c r="Y70" s="13">
        <v>1049.6287389999986</v>
      </c>
      <c r="Z70" s="79"/>
    </row>
    <row r="71" spans="1:26" ht="14.25" customHeight="1" x14ac:dyDescent="0.25">
      <c r="A71" s="104"/>
      <c r="B71" s="73" t="s">
        <v>2</v>
      </c>
      <c r="C71" s="37" t="s">
        <v>51</v>
      </c>
      <c r="D71" s="80" t="s">
        <v>2</v>
      </c>
      <c r="E71" s="38">
        <v>51350.650979999999</v>
      </c>
      <c r="F71" s="38">
        <v>53928.208461000002</v>
      </c>
      <c r="G71" s="38">
        <v>61012.333409999999</v>
      </c>
      <c r="H71" s="38">
        <v>66876.788454000009</v>
      </c>
      <c r="I71" s="38">
        <v>61362.897193000012</v>
      </c>
      <c r="J71" s="38">
        <v>66391.572679000004</v>
      </c>
      <c r="K71" s="38">
        <v>73474.972680999999</v>
      </c>
      <c r="L71" s="38">
        <v>82331.443788000004</v>
      </c>
      <c r="M71" s="38">
        <v>82711.587689000007</v>
      </c>
      <c r="N71" s="38">
        <v>83048.177488000001</v>
      </c>
      <c r="O71" s="38">
        <v>86346.962148999999</v>
      </c>
      <c r="P71" s="38">
        <v>90098.587675000002</v>
      </c>
      <c r="Q71" s="38">
        <v>88529.718550000005</v>
      </c>
      <c r="R71" s="38">
        <v>87727.035217000011</v>
      </c>
      <c r="S71" s="38">
        <v>80137.202965999997</v>
      </c>
      <c r="T71" s="38">
        <v>82335.805382999941</v>
      </c>
      <c r="U71" s="38">
        <v>90074.351488999993</v>
      </c>
      <c r="V71" s="38">
        <v>81750.893254999974</v>
      </c>
      <c r="W71" s="38">
        <v>73020.095510000072</v>
      </c>
      <c r="X71" s="38">
        <v>75388.194501999897</v>
      </c>
      <c r="Y71" s="38">
        <f>+SUM(Y67:Y70)</f>
        <v>75224.756130999929</v>
      </c>
      <c r="Z71" s="79"/>
    </row>
    <row r="72" spans="1:26" ht="14.25" customHeight="1" x14ac:dyDescent="0.25">
      <c r="A72" s="104"/>
      <c r="B72" s="73"/>
      <c r="C72" s="37" t="s">
        <v>52</v>
      </c>
      <c r="D72" s="80" t="s">
        <v>2</v>
      </c>
      <c r="E72" s="38">
        <v>6374.3589300000003</v>
      </c>
      <c r="F72" s="38">
        <v>7153.1824660000002</v>
      </c>
      <c r="G72" s="38">
        <v>6720.6857909999999</v>
      </c>
      <c r="H72" s="38">
        <v>6849.4417899999999</v>
      </c>
      <c r="I72" s="38">
        <v>7588.7033839999995</v>
      </c>
      <c r="J72" s="38">
        <v>6691.6382700000004</v>
      </c>
      <c r="K72" s="38">
        <v>5892.3634949999996</v>
      </c>
      <c r="L72" s="38">
        <v>5904.082555</v>
      </c>
      <c r="M72" s="38">
        <v>5732.4934479999993</v>
      </c>
      <c r="N72" s="38">
        <v>5257.7274460000008</v>
      </c>
      <c r="O72" s="38">
        <v>6518.5246840000009</v>
      </c>
      <c r="P72" s="38">
        <v>7677.2923389999996</v>
      </c>
      <c r="Q72" s="38">
        <v>5716.2278719999995</v>
      </c>
      <c r="R72" s="38">
        <v>6452.9178160000001</v>
      </c>
      <c r="S72" s="38">
        <v>7927.0774630000005</v>
      </c>
      <c r="T72" s="38">
        <v>10010.880095</v>
      </c>
      <c r="U72" s="38">
        <v>10169.693915000003</v>
      </c>
      <c r="V72" s="38">
        <v>7469.1537580000004</v>
      </c>
      <c r="W72" s="38">
        <v>8963.021652999998</v>
      </c>
      <c r="X72" s="38">
        <v>10449.015390000002</v>
      </c>
      <c r="Y72" s="38">
        <v>10760.574496999998</v>
      </c>
      <c r="Z72" s="79"/>
    </row>
    <row r="73" spans="1:26" ht="14.25" customHeight="1" x14ac:dyDescent="0.25">
      <c r="A73" s="104"/>
      <c r="B73" s="73"/>
      <c r="C73" s="12" t="s">
        <v>53</v>
      </c>
      <c r="D73" s="83" t="s">
        <v>2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5.1389000000000004E-2</v>
      </c>
      <c r="K73" s="13">
        <v>15.968856000000001</v>
      </c>
      <c r="L73" s="13">
        <v>348.93702300000001</v>
      </c>
      <c r="M73" s="13">
        <v>446.98398100000003</v>
      </c>
      <c r="N73" s="13">
        <v>613.28115500000001</v>
      </c>
      <c r="O73" s="13">
        <v>592.950963</v>
      </c>
      <c r="P73" s="13">
        <v>546.77047300000004</v>
      </c>
      <c r="Q73" s="13">
        <v>615.81775500000015</v>
      </c>
      <c r="R73" s="13">
        <v>1412.7427230000003</v>
      </c>
      <c r="S73" s="13">
        <v>4995.9664240000002</v>
      </c>
      <c r="T73" s="13">
        <v>9410.6392999999971</v>
      </c>
      <c r="U73" s="13">
        <v>12937.550226999998</v>
      </c>
      <c r="V73" s="13">
        <v>14164.457685999985</v>
      </c>
      <c r="W73" s="13">
        <v>14475.425426000007</v>
      </c>
      <c r="X73" s="13">
        <v>16164.50718199999</v>
      </c>
      <c r="Y73" s="13">
        <v>18628.080779</v>
      </c>
      <c r="Z73" s="79"/>
    </row>
    <row r="74" spans="1:26" ht="14.25" customHeight="1" x14ac:dyDescent="0.25">
      <c r="A74" s="104"/>
      <c r="B74" s="73"/>
      <c r="C74" s="12" t="s">
        <v>54</v>
      </c>
      <c r="D74" s="83" t="s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36.250446000000004</v>
      </c>
      <c r="M74" s="13">
        <v>108.550752</v>
      </c>
      <c r="N74" s="13">
        <v>103.04712300000001</v>
      </c>
      <c r="O74" s="13">
        <v>83.602836999999994</v>
      </c>
      <c r="P74" s="13">
        <v>57.510292000000014</v>
      </c>
      <c r="Q74" s="13">
        <v>64.053647999999995</v>
      </c>
      <c r="R74" s="13">
        <v>145.30763700000003</v>
      </c>
      <c r="S74" s="13">
        <v>255.52821200000002</v>
      </c>
      <c r="T74" s="13">
        <v>304.14390000000009</v>
      </c>
      <c r="U74" s="13">
        <v>377.97172400000005</v>
      </c>
      <c r="V74" s="13">
        <v>417.84782900000022</v>
      </c>
      <c r="W74" s="13">
        <v>435.6079219999998</v>
      </c>
      <c r="X74" s="13">
        <v>511.77669500000013</v>
      </c>
      <c r="Y74" s="13">
        <v>521.77741200000003</v>
      </c>
      <c r="Z74" s="79"/>
    </row>
    <row r="75" spans="1:26" ht="14.25" customHeight="1" x14ac:dyDescent="0.25">
      <c r="A75" s="104"/>
      <c r="B75" s="73"/>
      <c r="C75" s="12" t="s">
        <v>55</v>
      </c>
      <c r="D75" s="83" t="s">
        <v>2</v>
      </c>
      <c r="E75" s="13">
        <v>7.1364000000000011E-2</v>
      </c>
      <c r="F75" s="13">
        <v>2.4000000000000001E-5</v>
      </c>
      <c r="G75" s="13">
        <v>9.9999999999999995E-7</v>
      </c>
      <c r="H75" s="13">
        <v>3.6306000000000005E-2</v>
      </c>
      <c r="I75" s="13">
        <v>23.936956000000002</v>
      </c>
      <c r="J75" s="13">
        <v>74.557824999999994</v>
      </c>
      <c r="K75" s="13">
        <v>97.634366</v>
      </c>
      <c r="L75" s="13">
        <v>127.08936500000002</v>
      </c>
      <c r="M75" s="13">
        <v>133.884737</v>
      </c>
      <c r="N75" s="13">
        <v>112.42374200000002</v>
      </c>
      <c r="O75" s="13">
        <v>194.98382500000002</v>
      </c>
      <c r="P75" s="13">
        <v>193.21693500000001</v>
      </c>
      <c r="Q75" s="13">
        <v>242.59961100000001</v>
      </c>
      <c r="R75" s="13">
        <v>251.70165400000002</v>
      </c>
      <c r="S75" s="13">
        <v>299.15840499999996</v>
      </c>
      <c r="T75" s="13">
        <v>420.95650000000012</v>
      </c>
      <c r="U75" s="13">
        <v>750.18710600000065</v>
      </c>
      <c r="V75" s="13">
        <v>769.14232300000026</v>
      </c>
      <c r="W75" s="13">
        <v>732.08017700000005</v>
      </c>
      <c r="X75" s="13">
        <v>747.3930660000002</v>
      </c>
      <c r="Y75" s="13">
        <v>1029.5824439999999</v>
      </c>
      <c r="Z75" s="79"/>
    </row>
    <row r="76" spans="1:26" ht="14.25" customHeight="1" x14ac:dyDescent="0.25">
      <c r="A76" s="104"/>
      <c r="B76" s="73"/>
      <c r="C76" s="12" t="s">
        <v>56</v>
      </c>
      <c r="D76" s="83" t="s">
        <v>2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1.7631939999999999</v>
      </c>
      <c r="L76" s="13">
        <v>8.0824330000000018</v>
      </c>
      <c r="M76" s="13">
        <v>15.021982</v>
      </c>
      <c r="N76" s="13">
        <v>15.748637</v>
      </c>
      <c r="O76" s="13">
        <v>14.670648000000002</v>
      </c>
      <c r="P76" s="13">
        <v>14.263318999999999</v>
      </c>
      <c r="Q76" s="13">
        <v>16.405158</v>
      </c>
      <c r="R76" s="13">
        <v>108.11652799999999</v>
      </c>
      <c r="S76" s="13">
        <v>799.68491300000005</v>
      </c>
      <c r="T76" s="13">
        <v>1344.3488</v>
      </c>
      <c r="U76" s="13">
        <v>2195.5634100000011</v>
      </c>
      <c r="V76" s="13">
        <v>2928.2914279999995</v>
      </c>
      <c r="W76" s="13">
        <v>3259.4615330000015</v>
      </c>
      <c r="X76" s="13">
        <v>3941.3160830000029</v>
      </c>
      <c r="Y76" s="13">
        <v>5105.8454600000005</v>
      </c>
      <c r="Z76" s="79"/>
    </row>
    <row r="77" spans="1:26" ht="14.25" customHeight="1" x14ac:dyDescent="0.25">
      <c r="A77" s="104"/>
      <c r="B77" s="73"/>
      <c r="C77" s="12" t="s">
        <v>137</v>
      </c>
      <c r="D77" s="83" t="s">
        <v>2</v>
      </c>
      <c r="E77" s="13">
        <v>1321.27486</v>
      </c>
      <c r="F77" s="13">
        <v>1907.0440580000002</v>
      </c>
      <c r="G77" s="13">
        <v>1863.8054959999997</v>
      </c>
      <c r="H77" s="13">
        <v>1760.6289669999996</v>
      </c>
      <c r="I77" s="13">
        <v>1518.8737140000001</v>
      </c>
      <c r="J77" s="13">
        <v>1427.2004209999998</v>
      </c>
      <c r="K77" s="13">
        <v>1255.3358410000001</v>
      </c>
      <c r="L77" s="13">
        <v>1453.3624839999998</v>
      </c>
      <c r="M77" s="13">
        <v>1274.0476019999999</v>
      </c>
      <c r="N77" s="13">
        <v>1456.7233799999999</v>
      </c>
      <c r="O77" s="13">
        <v>1623.794715</v>
      </c>
      <c r="P77" s="13">
        <v>1820.0787319999999</v>
      </c>
      <c r="Q77" s="13">
        <v>1695.8745660000002</v>
      </c>
      <c r="R77" s="13">
        <v>1432.3593960000001</v>
      </c>
      <c r="S77" s="13">
        <v>1461.7997950000001</v>
      </c>
      <c r="T77" s="13">
        <v>1257.0722999999991</v>
      </c>
      <c r="U77" s="13">
        <v>1175.426062</v>
      </c>
      <c r="V77" s="13">
        <v>1060.4926079999996</v>
      </c>
      <c r="W77" s="13">
        <v>1183.359224</v>
      </c>
      <c r="X77" s="13">
        <v>1511.6255439999995</v>
      </c>
      <c r="Y77" s="13">
        <v>1374.08781</v>
      </c>
      <c r="Z77" s="79"/>
    </row>
    <row r="78" spans="1:26" ht="14.25" customHeight="1" x14ac:dyDescent="0.25">
      <c r="A78" s="104"/>
      <c r="B78" s="73"/>
      <c r="C78" s="37" t="s">
        <v>138</v>
      </c>
      <c r="D78" s="80" t="s">
        <v>2</v>
      </c>
      <c r="E78" s="38">
        <v>1321.3462239999999</v>
      </c>
      <c r="F78" s="38">
        <v>1907.0440820000001</v>
      </c>
      <c r="G78" s="38">
        <v>1863.8054969999998</v>
      </c>
      <c r="H78" s="38">
        <v>1760.6652729999996</v>
      </c>
      <c r="I78" s="38">
        <v>1542.8106700000001</v>
      </c>
      <c r="J78" s="38">
        <v>1501.8096349999998</v>
      </c>
      <c r="K78" s="38">
        <v>1370.7022570000001</v>
      </c>
      <c r="L78" s="38">
        <v>1973.7217509999998</v>
      </c>
      <c r="M78" s="38">
        <v>1978.4890539999999</v>
      </c>
      <c r="N78" s="38">
        <v>2301.224037</v>
      </c>
      <c r="O78" s="38">
        <v>2510.0029880000002</v>
      </c>
      <c r="P78" s="38">
        <v>2631.839751</v>
      </c>
      <c r="Q78" s="38">
        <v>2634.7507380000002</v>
      </c>
      <c r="R78" s="38">
        <v>3350.2279380000004</v>
      </c>
      <c r="S78" s="38">
        <v>7812.1377490000004</v>
      </c>
      <c r="T78" s="38">
        <v>12737.160799999998</v>
      </c>
      <c r="U78" s="38">
        <v>17436.698529000001</v>
      </c>
      <c r="V78" s="38">
        <v>19340.231873999986</v>
      </c>
      <c r="W78" s="38">
        <v>20085.934282000009</v>
      </c>
      <c r="X78" s="38">
        <v>22876.618569999991</v>
      </c>
      <c r="Y78" s="38">
        <f>SUM(Y73:Y77)</f>
        <v>26659.373905</v>
      </c>
      <c r="Z78" s="79"/>
    </row>
    <row r="79" spans="1:26" ht="14.25" customHeight="1" x14ac:dyDescent="0.25">
      <c r="A79" s="104"/>
      <c r="B79" s="73"/>
      <c r="C79" s="37" t="s">
        <v>0</v>
      </c>
      <c r="D79" s="80" t="s">
        <v>2</v>
      </c>
      <c r="E79" s="38">
        <v>1221.68001</v>
      </c>
      <c r="F79" s="38">
        <v>558.88291300000014</v>
      </c>
      <c r="G79" s="38">
        <v>3458.9203029999999</v>
      </c>
      <c r="H79" s="38">
        <v>1774.169144</v>
      </c>
      <c r="I79" s="38">
        <v>1595.5627910000001</v>
      </c>
      <c r="J79" s="38">
        <v>2351.0354409999995</v>
      </c>
      <c r="K79" s="38">
        <v>2412.2453540000001</v>
      </c>
      <c r="L79" s="38">
        <v>345.30508400000002</v>
      </c>
      <c r="M79" s="38">
        <v>342.30882400000007</v>
      </c>
      <c r="N79" s="38">
        <v>1389.645775</v>
      </c>
      <c r="O79" s="38">
        <v>1654.636896</v>
      </c>
      <c r="P79" s="38">
        <v>1469.8891619999997</v>
      </c>
      <c r="Q79" s="38">
        <v>733.88345499999991</v>
      </c>
      <c r="R79" s="38">
        <v>343.53614100000004</v>
      </c>
      <c r="S79" s="38">
        <v>2746.3402289999999</v>
      </c>
      <c r="T79" s="38">
        <v>1203.643151</v>
      </c>
      <c r="U79" s="38">
        <v>818.98568699999987</v>
      </c>
      <c r="V79" s="38">
        <v>6309.9876219999996</v>
      </c>
      <c r="W79" s="38">
        <v>6240.560219</v>
      </c>
      <c r="X79" s="38">
        <v>4653.8929879999996</v>
      </c>
      <c r="Y79" s="38">
        <v>4303.7889769999992</v>
      </c>
      <c r="Z79" s="79"/>
    </row>
    <row r="80" spans="1:26" ht="14.25" customHeight="1" x14ac:dyDescent="0.25">
      <c r="A80" s="104"/>
      <c r="B80" s="73"/>
      <c r="C80" s="14" t="s">
        <v>50</v>
      </c>
      <c r="D80" s="84" t="s">
        <v>2</v>
      </c>
      <c r="E80" s="14">
        <v>98159.964284000001</v>
      </c>
      <c r="F80" s="14">
        <v>104627.27386399999</v>
      </c>
      <c r="G80" s="14">
        <v>108481.939505</v>
      </c>
      <c r="H80" s="14">
        <v>112382.34184400002</v>
      </c>
      <c r="I80" s="14">
        <v>110889.44571900001</v>
      </c>
      <c r="J80" s="14">
        <v>115735.216332</v>
      </c>
      <c r="K80" s="14">
        <v>121233.84954600006</v>
      </c>
      <c r="L80" s="14">
        <v>125727.09508100002</v>
      </c>
      <c r="M80" s="14">
        <v>129820.443136</v>
      </c>
      <c r="N80" s="14">
        <v>131203.47512600003</v>
      </c>
      <c r="O80" s="14">
        <v>136870.482892</v>
      </c>
      <c r="P80" s="14">
        <v>138069.56997400001</v>
      </c>
      <c r="Q80" s="14">
        <v>137198.58194200002</v>
      </c>
      <c r="R80" s="14">
        <v>137825.37070199999</v>
      </c>
      <c r="S80" s="14">
        <v>133992.91650699999</v>
      </c>
      <c r="T80" s="14">
        <v>135380.52002899992</v>
      </c>
      <c r="U80" s="14">
        <v>142615.96372700002</v>
      </c>
      <c r="V80" s="14">
        <v>145056.59128499994</v>
      </c>
      <c r="W80" s="14">
        <v>147641.42742000008</v>
      </c>
      <c r="X80" s="14">
        <v>146791.762036</v>
      </c>
      <c r="Y80" s="14">
        <f>Y66+Y71+Y72+Y78+Y79</f>
        <v>147092.64986599993</v>
      </c>
      <c r="Z80" s="79"/>
    </row>
    <row r="81" spans="1:26" ht="14.25" customHeight="1" x14ac:dyDescent="0.25">
      <c r="A81" s="104"/>
      <c r="B81" s="51"/>
      <c r="C81" s="12" t="s">
        <v>131</v>
      </c>
      <c r="D81" s="81" t="s">
        <v>35</v>
      </c>
      <c r="E81" s="46">
        <v>0.16148744257014566</v>
      </c>
      <c r="F81" s="46">
        <v>0.18526481470974782</v>
      </c>
      <c r="G81" s="46">
        <v>0.10084771451284535</v>
      </c>
      <c r="H81" s="46">
        <v>0.10703410461669609</v>
      </c>
      <c r="I81" s="46">
        <v>0.13104866379100383</v>
      </c>
      <c r="J81" s="46">
        <v>9.4877831026820403E-2</v>
      </c>
      <c r="K81" s="46">
        <v>8.1049558789038662E-2</v>
      </c>
      <c r="L81" s="46">
        <v>7.6540833881512907E-2</v>
      </c>
      <c r="M81" s="46">
        <v>8.2954874462399852E-2</v>
      </c>
      <c r="N81" s="46">
        <v>7.8390402739887843E-2</v>
      </c>
      <c r="O81" s="46">
        <v>8.8130990642578122E-2</v>
      </c>
      <c r="P81" s="46">
        <v>5.2187207799349752E-2</v>
      </c>
      <c r="Q81" s="46">
        <v>6.2631116330579883E-2</v>
      </c>
      <c r="R81" s="46">
        <v>7.8535845533139775E-2</v>
      </c>
      <c r="S81" s="46">
        <v>7.160310298566254E-2</v>
      </c>
      <c r="T81" s="46">
        <v>6.9736046205005411E-2</v>
      </c>
      <c r="U81" s="46">
        <v>4.8523148420094253E-2</v>
      </c>
      <c r="V81" s="46">
        <v>5.3032470430011337E-2</v>
      </c>
      <c r="W81" s="46">
        <v>8.6496301974049228E-2</v>
      </c>
      <c r="X81" s="46">
        <v>7.804900689992568E-2</v>
      </c>
      <c r="Y81" s="46">
        <f>Y62/$Y$80</f>
        <v>5.3843614940753654E-2</v>
      </c>
      <c r="Z81" s="79"/>
    </row>
    <row r="82" spans="1:26" ht="14.25" customHeight="1" x14ac:dyDescent="0.25">
      <c r="A82" s="104"/>
      <c r="B82" s="51"/>
      <c r="C82" s="12" t="s">
        <v>132</v>
      </c>
      <c r="D82" s="81" t="s">
        <v>35</v>
      </c>
      <c r="E82" s="46">
        <v>3.8670123656704726E-2</v>
      </c>
      <c r="F82" s="46">
        <v>1.9983810241656477E-2</v>
      </c>
      <c r="G82" s="46">
        <v>4.3711043659773845E-2</v>
      </c>
      <c r="H82" s="46">
        <v>2.825369802675563E-2</v>
      </c>
      <c r="I82" s="46">
        <v>3.2410592357972244E-2</v>
      </c>
      <c r="J82" s="46">
        <v>4.1388627375603428E-2</v>
      </c>
      <c r="K82" s="46">
        <v>3.7486143284393814E-2</v>
      </c>
      <c r="L82" s="46">
        <v>2.0391420817830033E-2</v>
      </c>
      <c r="M82" s="46">
        <v>3.8363391586813331E-2</v>
      </c>
      <c r="N82" s="46">
        <v>4.3199290404136691E-2</v>
      </c>
      <c r="O82" s="46">
        <v>3.842203591222499E-2</v>
      </c>
      <c r="P82" s="46">
        <v>3.488329645632246E-2</v>
      </c>
      <c r="Q82" s="46">
        <v>3.7612065102695449E-2</v>
      </c>
      <c r="R82" s="46">
        <v>3.1773478385692111E-2</v>
      </c>
      <c r="S82" s="46">
        <v>3.5145860861637263E-2</v>
      </c>
      <c r="T82" s="46">
        <v>1.8720648284236929E-2</v>
      </c>
      <c r="U82" s="46">
        <v>1.9497324081634855E-2</v>
      </c>
      <c r="V82" s="46">
        <v>2.6185268020928465E-2</v>
      </c>
      <c r="W82" s="46">
        <v>2.1603536051751335E-2</v>
      </c>
      <c r="X82" s="46">
        <v>3.6420766873067834E-2</v>
      </c>
      <c r="Y82" s="46">
        <f t="shared" ref="Y82:Y83" si="1">Y63/$Y$80</f>
        <v>2.8417463440953316E-2</v>
      </c>
      <c r="Z82" s="79"/>
    </row>
    <row r="83" spans="1:26" ht="14.25" customHeight="1" x14ac:dyDescent="0.25">
      <c r="A83" s="104"/>
      <c r="B83" s="51"/>
      <c r="C83" s="12" t="s">
        <v>139</v>
      </c>
      <c r="D83" s="81" t="s">
        <v>35</v>
      </c>
      <c r="E83" s="46">
        <v>0.12529703010501964</v>
      </c>
      <c r="F83" s="46">
        <v>0.12051999000175347</v>
      </c>
      <c r="G83" s="46">
        <v>0.13045740207610976</v>
      </c>
      <c r="H83" s="46">
        <v>0.12408019597381685</v>
      </c>
      <c r="I83" s="46">
        <v>0.13090924844899574</v>
      </c>
      <c r="J83" s="46">
        <v>0.15019056904975864</v>
      </c>
      <c r="K83" s="46">
        <v>0.15417882109655986</v>
      </c>
      <c r="L83" s="46">
        <v>0.13951467651980115</v>
      </c>
      <c r="M83" s="46">
        <v>0.13678968867327471</v>
      </c>
      <c r="N83" s="46">
        <v>0.1410159599982545</v>
      </c>
      <c r="O83" s="46">
        <v>0.12662657889265774</v>
      </c>
      <c r="P83" s="46">
        <v>0.13918863760942329</v>
      </c>
      <c r="Q83" s="46">
        <v>0.14279391059072349</v>
      </c>
      <c r="R83" s="46">
        <v>0.13780727084033439</v>
      </c>
      <c r="S83" s="46">
        <v>0.11998983990441071</v>
      </c>
      <c r="T83" s="46">
        <v>9.7451243333781842E-2</v>
      </c>
      <c r="U83" s="46">
        <v>7.7540996737004084E-2</v>
      </c>
      <c r="V83" s="46">
        <v>9.742874060257499E-2</v>
      </c>
      <c r="W83" s="46">
        <v>0.12214345616355859</v>
      </c>
      <c r="X83" s="46">
        <v>7.4694273002261641E-2</v>
      </c>
      <c r="Y83" s="46">
        <f t="shared" si="1"/>
        <v>8.8529236585668442E-2</v>
      </c>
      <c r="Z83" s="79"/>
    </row>
    <row r="84" spans="1:26" ht="14.25" customHeight="1" x14ac:dyDescent="0.25">
      <c r="A84" s="104"/>
      <c r="B84" s="51"/>
      <c r="C84" s="12" t="s">
        <v>134</v>
      </c>
      <c r="D84" s="81" t="s">
        <v>35</v>
      </c>
      <c r="E84" s="46">
        <v>6.0567631940032028E-2</v>
      </c>
      <c r="F84" s="46">
        <v>6.6862813018461559E-2</v>
      </c>
      <c r="G84" s="46">
        <v>5.1546903295753364E-2</v>
      </c>
      <c r="H84" s="46">
        <v>5.3147976817310739E-2</v>
      </c>
      <c r="I84" s="46">
        <v>5.5524773607422112E-2</v>
      </c>
      <c r="J84" s="46">
        <v>4.8783718939996661E-2</v>
      </c>
      <c r="K84" s="46">
        <v>4.1418583232357177E-2</v>
      </c>
      <c r="L84" s="46">
        <v>4.3306147306530866E-2</v>
      </c>
      <c r="M84" s="46">
        <v>4.273498786464653E-2</v>
      </c>
      <c r="N84" s="46">
        <v>3.6217989618312622E-2</v>
      </c>
      <c r="O84" s="46">
        <v>3.7901096053656255E-2</v>
      </c>
      <c r="P84" s="46">
        <v>3.5869298556753693E-2</v>
      </c>
      <c r="Q84" s="46">
        <v>4.5479019197427153E-2</v>
      </c>
      <c r="R84" s="46">
        <v>4.1754953465301961E-2</v>
      </c>
      <c r="S84" s="46">
        <v>3.7231553951132763E-2</v>
      </c>
      <c r="T84" s="46">
        <v>2.8990266097066855E-2</v>
      </c>
      <c r="U84" s="46">
        <v>2.3537651762644062E-2</v>
      </c>
      <c r="V84" s="46">
        <v>3.1453852745206561E-2</v>
      </c>
      <c r="W84" s="46">
        <v>3.6157650608550293E-2</v>
      </c>
      <c r="X84" s="46">
        <v>3.8532931055169278E-2</v>
      </c>
      <c r="Y84" s="46">
        <f>Y65/$Y$80</f>
        <v>3.4142809722818496E-2</v>
      </c>
      <c r="Z84" s="79"/>
    </row>
    <row r="85" spans="1:26" ht="14.25" customHeight="1" x14ac:dyDescent="0.25">
      <c r="A85" s="104"/>
      <c r="B85" s="51"/>
      <c r="C85" s="37" t="s">
        <v>135</v>
      </c>
      <c r="D85" s="85" t="s">
        <v>35</v>
      </c>
      <c r="E85" s="42">
        <v>0.38602222827190208</v>
      </c>
      <c r="F85" s="42">
        <v>0.39263142797161932</v>
      </c>
      <c r="G85" s="42">
        <v>0.32656306354448233</v>
      </c>
      <c r="H85" s="42">
        <v>0.31251597543457932</v>
      </c>
      <c r="I85" s="42">
        <v>0.3498932782053939</v>
      </c>
      <c r="J85" s="42">
        <v>0.3352407463921791</v>
      </c>
      <c r="K85" s="42">
        <v>0.31413310640234954</v>
      </c>
      <c r="L85" s="42">
        <v>0.27975307852567499</v>
      </c>
      <c r="M85" s="42">
        <v>0.30084294258713434</v>
      </c>
      <c r="N85" s="42">
        <v>0.29882364276059165</v>
      </c>
      <c r="O85" s="42">
        <v>0.29108070150111709</v>
      </c>
      <c r="P85" s="42">
        <v>0.26212844042184918</v>
      </c>
      <c r="Q85" s="42">
        <v>0.28851611122142601</v>
      </c>
      <c r="R85" s="42">
        <v>0.28987154822446826</v>
      </c>
      <c r="S85" s="42">
        <v>0.26397035770284327</v>
      </c>
      <c r="T85" s="42">
        <v>0.21489820392009104</v>
      </c>
      <c r="U85" s="42">
        <v>0.16909912100137725</v>
      </c>
      <c r="V85" s="42">
        <v>0.20810033179872137</v>
      </c>
      <c r="W85" s="42">
        <v>0.26640094479790943</v>
      </c>
      <c r="X85" s="42">
        <v>0.22769697783042447</v>
      </c>
      <c r="Y85" s="42">
        <f>+Y66/Y80</f>
        <v>0.20493312469019392</v>
      </c>
      <c r="Z85" s="79"/>
    </row>
    <row r="86" spans="1:26" ht="14.25" customHeight="1" x14ac:dyDescent="0.25">
      <c r="A86" s="104"/>
      <c r="B86" s="51"/>
      <c r="C86" s="12" t="s">
        <v>116</v>
      </c>
      <c r="D86" s="81" t="s">
        <v>35</v>
      </c>
      <c r="E86" s="46">
        <v>0.33426838959586186</v>
      </c>
      <c r="F86" s="46">
        <v>0.31575009681454586</v>
      </c>
      <c r="G86" s="46">
        <v>0.33656189793064295</v>
      </c>
      <c r="H86" s="46">
        <v>0.33820460093063298</v>
      </c>
      <c r="I86" s="46">
        <v>0.32095722688693917</v>
      </c>
      <c r="J86" s="46">
        <v>0.3551588614574086</v>
      </c>
      <c r="K86" s="46">
        <v>0.37016738509134189</v>
      </c>
      <c r="L86" s="46">
        <v>0.41230604192837839</v>
      </c>
      <c r="M86" s="46">
        <v>0.39778688680719559</v>
      </c>
      <c r="N86" s="46">
        <v>0.38900628446758134</v>
      </c>
      <c r="O86" s="46">
        <v>0.38389366121737528</v>
      </c>
      <c r="P86" s="46">
        <v>0.39046194278110663</v>
      </c>
      <c r="Q86" s="46">
        <v>0.44498306201742671</v>
      </c>
      <c r="R86" s="46">
        <v>0.45346794670433693</v>
      </c>
      <c r="S86" s="46">
        <v>0.45249213503635144</v>
      </c>
      <c r="T86" s="46">
        <v>0.49649787176620053</v>
      </c>
      <c r="U86" s="46">
        <v>0.51981309471714499</v>
      </c>
      <c r="V86" s="46">
        <v>0.44514500053385148</v>
      </c>
      <c r="W86" s="46">
        <v>0.40818373067853703</v>
      </c>
      <c r="X86" s="46">
        <v>0.4417868074238091</v>
      </c>
      <c r="Y86" s="46">
        <f>Y73/$Y$80</f>
        <v>0.12664181926132959</v>
      </c>
      <c r="Z86" s="79"/>
    </row>
    <row r="87" spans="1:26" ht="14.25" customHeight="1" x14ac:dyDescent="0.25">
      <c r="A87" s="104"/>
      <c r="B87" s="51"/>
      <c r="C87" s="12" t="s">
        <v>117</v>
      </c>
      <c r="D87" s="81" t="s">
        <v>35</v>
      </c>
      <c r="E87" s="46">
        <v>5.8990688079782146E-2</v>
      </c>
      <c r="F87" s="46">
        <v>6.3818279158064345E-2</v>
      </c>
      <c r="G87" s="46">
        <v>7.4835066012309132E-2</v>
      </c>
      <c r="H87" s="46">
        <v>9.5037403739333309E-2</v>
      </c>
      <c r="I87" s="46">
        <v>9.1533259312350124E-2</v>
      </c>
      <c r="J87" s="46">
        <v>8.1961978865522006E-2</v>
      </c>
      <c r="K87" s="46">
        <v>7.7303787639309604E-2</v>
      </c>
      <c r="L87" s="46">
        <v>8.2663187289138268E-2</v>
      </c>
      <c r="M87" s="46">
        <v>9.9200206515308018E-2</v>
      </c>
      <c r="N87" s="46">
        <v>9.2499664451303906E-2</v>
      </c>
      <c r="O87" s="46">
        <v>0.10336029661094211</v>
      </c>
      <c r="P87" s="46">
        <v>0.12728819026748253</v>
      </c>
      <c r="Q87" s="46">
        <v>9.5810250003582342E-2</v>
      </c>
      <c r="R87" s="46">
        <v>0.10185955478657227</v>
      </c>
      <c r="S87" s="46">
        <v>9.3645304446705463E-2</v>
      </c>
      <c r="T87" s="46">
        <v>6.2069677928552641E-2</v>
      </c>
      <c r="U87" s="46">
        <v>5.6864207519741111E-2</v>
      </c>
      <c r="V87" s="46">
        <v>5.6111884140501514E-2</v>
      </c>
      <c r="W87" s="46">
        <v>4.3580605771956826E-2</v>
      </c>
      <c r="X87" s="46">
        <v>3.7014252159923593E-2</v>
      </c>
      <c r="Y87" s="46">
        <f t="shared" ref="Y87:Y89" si="2">Y74/$Y$80</f>
        <v>3.5472704616806789E-3</v>
      </c>
      <c r="Z87" s="79"/>
    </row>
    <row r="88" spans="1:26" ht="14.25" customHeight="1" x14ac:dyDescent="0.25">
      <c r="A88" s="104"/>
      <c r="B88" s="51" t="s">
        <v>142</v>
      </c>
      <c r="C88" s="12" t="s">
        <v>118</v>
      </c>
      <c r="D88" s="81" t="s">
        <v>35</v>
      </c>
      <c r="E88" s="46">
        <v>0.12987325386667822</v>
      </c>
      <c r="F88" s="46">
        <v>0.13586327458438235</v>
      </c>
      <c r="G88" s="46">
        <v>0.15099617773007293</v>
      </c>
      <c r="H88" s="46">
        <v>0.16038552488984559</v>
      </c>
      <c r="I88" s="46">
        <v>0.13562085719239195</v>
      </c>
      <c r="J88" s="46">
        <v>0.12659618330837236</v>
      </c>
      <c r="K88" s="46">
        <v>0.14585114848053093</v>
      </c>
      <c r="L88" s="46">
        <v>0.14628256301596013</v>
      </c>
      <c r="M88" s="46">
        <v>0.12407469087226763</v>
      </c>
      <c r="N88" s="46">
        <v>0.13566261793680776</v>
      </c>
      <c r="O88" s="46">
        <v>0.12626402440354151</v>
      </c>
      <c r="P88" s="46">
        <v>0.11661604026167399</v>
      </c>
      <c r="Q88" s="46">
        <v>8.3865610082356434E-2</v>
      </c>
      <c r="R88" s="46">
        <v>6.3320368293218465E-2</v>
      </c>
      <c r="S88" s="46">
        <v>3.7808885186369816E-2</v>
      </c>
      <c r="T88" s="46">
        <v>3.4740660931074314E-2</v>
      </c>
      <c r="U88" s="46">
        <v>3.864030090312192E-2</v>
      </c>
      <c r="V88" s="46">
        <v>4.6318983759925075E-2</v>
      </c>
      <c r="W88" s="46">
        <v>2.816672783967316E-2</v>
      </c>
      <c r="X88" s="46">
        <v>2.4739531003854141E-2</v>
      </c>
      <c r="Y88" s="46">
        <f t="shared" si="2"/>
        <v>6.9995505889515223E-3</v>
      </c>
      <c r="Z88" s="79"/>
    </row>
    <row r="89" spans="1:26" ht="14.25" customHeight="1" x14ac:dyDescent="0.25">
      <c r="A89" s="104"/>
      <c r="B89" s="51"/>
      <c r="C89" s="12" t="s">
        <v>119</v>
      </c>
      <c r="D89" s="81" t="s">
        <v>35</v>
      </c>
      <c r="E89" s="46">
        <v>0</v>
      </c>
      <c r="F89" s="46">
        <v>0</v>
      </c>
      <c r="G89" s="46">
        <v>2.6130036141816487E-5</v>
      </c>
      <c r="H89" s="46">
        <v>1.4551796689466394E-3</v>
      </c>
      <c r="I89" s="46">
        <v>5.2586982306476139E-3</v>
      </c>
      <c r="J89" s="46">
        <v>9.9335451683268405E-3</v>
      </c>
      <c r="K89" s="46">
        <v>1.2737561867274301E-2</v>
      </c>
      <c r="L89" s="46">
        <v>1.3590696054014079E-2</v>
      </c>
      <c r="M89" s="46">
        <v>1.6061196523691396E-2</v>
      </c>
      <c r="N89" s="46">
        <v>1.5803825135033332E-2</v>
      </c>
      <c r="O89" s="46">
        <v>1.7348222990296657E-2</v>
      </c>
      <c r="P89" s="46">
        <v>1.819316827359586E-2</v>
      </c>
      <c r="Q89" s="46">
        <v>2.0608086468381057E-2</v>
      </c>
      <c r="R89" s="46">
        <v>1.78607408596963E-2</v>
      </c>
      <c r="S89" s="46">
        <v>1.4124118567873184E-2</v>
      </c>
      <c r="T89" s="46">
        <v>1.4872385558636495E-2</v>
      </c>
      <c r="U89" s="46">
        <v>1.6269136065591321E-2</v>
      </c>
      <c r="V89" s="46">
        <v>1.6003438998776858E-2</v>
      </c>
      <c r="W89" s="46">
        <v>1.464621517677819E-2</v>
      </c>
      <c r="X89" s="46">
        <v>1.0031788790973549E-2</v>
      </c>
      <c r="Y89" s="46">
        <f t="shared" si="2"/>
        <v>3.47117647594994E-2</v>
      </c>
      <c r="Z89" s="79"/>
    </row>
    <row r="90" spans="1:26" ht="14.25" customHeight="1" x14ac:dyDescent="0.25">
      <c r="A90" s="104"/>
      <c r="B90" s="51"/>
      <c r="C90" s="37" t="s">
        <v>51</v>
      </c>
      <c r="D90" s="85" t="s">
        <v>35</v>
      </c>
      <c r="E90" s="42">
        <v>0.52313233154232219</v>
      </c>
      <c r="F90" s="42">
        <v>0.51543165055699258</v>
      </c>
      <c r="G90" s="42">
        <v>0.56241927170916683</v>
      </c>
      <c r="H90" s="42">
        <v>0.5950827092287585</v>
      </c>
      <c r="I90" s="42">
        <v>0.55337004162232883</v>
      </c>
      <c r="J90" s="42">
        <v>0.57365056879962983</v>
      </c>
      <c r="K90" s="42">
        <v>0.60605988307845671</v>
      </c>
      <c r="L90" s="42">
        <v>0.65484248828749081</v>
      </c>
      <c r="M90" s="42">
        <v>0.63712298071846263</v>
      </c>
      <c r="N90" s="42">
        <v>0.6329723919907263</v>
      </c>
      <c r="O90" s="42">
        <v>0.63086620522215553</v>
      </c>
      <c r="P90" s="42">
        <v>0.65255934158385909</v>
      </c>
      <c r="Q90" s="42">
        <v>0.64526700857174657</v>
      </c>
      <c r="R90" s="42">
        <v>0.63650861064382391</v>
      </c>
      <c r="S90" s="42">
        <v>0.59807044323729985</v>
      </c>
      <c r="T90" s="42">
        <v>0.60818059618446396</v>
      </c>
      <c r="U90" s="42">
        <v>0.63158673920559949</v>
      </c>
      <c r="V90" s="42">
        <v>0.56357930743305484</v>
      </c>
      <c r="W90" s="42">
        <v>0.49457727946694513</v>
      </c>
      <c r="X90" s="42">
        <v>0.51357237937856037</v>
      </c>
      <c r="Y90" s="42">
        <f>Y71/Y80</f>
        <v>0.51141070746586592</v>
      </c>
      <c r="Z90" s="79"/>
    </row>
    <row r="91" spans="1:26" ht="14.25" customHeight="1" x14ac:dyDescent="0.25">
      <c r="A91" s="104"/>
      <c r="B91" s="51" t="s">
        <v>129</v>
      </c>
      <c r="C91" s="37" t="s">
        <v>52</v>
      </c>
      <c r="D91" s="85" t="s">
        <v>35</v>
      </c>
      <c r="E91" s="42">
        <v>6.4938480535276802E-2</v>
      </c>
      <c r="F91" s="42">
        <v>6.8368239005233769E-2</v>
      </c>
      <c r="G91" s="42">
        <v>6.1952116837754721E-2</v>
      </c>
      <c r="H91" s="42">
        <v>6.0947669158806415E-2</v>
      </c>
      <c r="I91" s="42">
        <v>6.8434857211119929E-2</v>
      </c>
      <c r="J91" s="42">
        <v>5.7818514382037819E-2</v>
      </c>
      <c r="K91" s="42">
        <v>4.860328626918875E-2</v>
      </c>
      <c r="L91" s="42">
        <v>4.6959508220533359E-2</v>
      </c>
      <c r="M91" s="42">
        <v>4.4157093517194629E-2</v>
      </c>
      <c r="N91" s="42">
        <v>4.0073080693562357E-2</v>
      </c>
      <c r="O91" s="42">
        <v>4.762549635441525E-2</v>
      </c>
      <c r="P91" s="42">
        <v>5.5604521260156865E-2</v>
      </c>
      <c r="Q91" s="42">
        <v>4.1663899080360063E-2</v>
      </c>
      <c r="R91" s="42">
        <v>4.681952084099391E-2</v>
      </c>
      <c r="S91" s="42">
        <v>5.9160421831596435E-2</v>
      </c>
      <c r="T91" s="42">
        <v>7.3946237559551153E-2</v>
      </c>
      <c r="U91" s="42">
        <v>7.1308243826526688E-2</v>
      </c>
      <c r="V91" s="42">
        <v>5.1491308956274726E-2</v>
      </c>
      <c r="W91" s="42">
        <v>6.0708039807164806E-2</v>
      </c>
      <c r="X91" s="42">
        <v>7.1182573497805962E-2</v>
      </c>
      <c r="Y91" s="42">
        <f>Y72/Y80</f>
        <v>7.3155079514868909E-2</v>
      </c>
      <c r="Z91" s="79"/>
    </row>
    <row r="92" spans="1:26" ht="14.25" customHeight="1" x14ac:dyDescent="0.25">
      <c r="A92" s="104"/>
      <c r="B92" s="51"/>
      <c r="C92" s="12" t="s">
        <v>53</v>
      </c>
      <c r="D92" s="81" t="s">
        <v>35</v>
      </c>
      <c r="E92" s="46">
        <v>0</v>
      </c>
      <c r="F92" s="46">
        <v>0</v>
      </c>
      <c r="G92" s="46">
        <v>0</v>
      </c>
      <c r="H92" s="46">
        <v>0</v>
      </c>
      <c r="I92" s="46">
        <v>0</v>
      </c>
      <c r="J92" s="46">
        <v>4.4402215357324474E-7</v>
      </c>
      <c r="K92" s="46">
        <v>1.3171945013542525E-4</v>
      </c>
      <c r="L92" s="46">
        <v>2.7753526220835405E-3</v>
      </c>
      <c r="M92" s="46">
        <v>3.443093939617347E-3</v>
      </c>
      <c r="N92" s="46">
        <v>4.6742752386020351E-3</v>
      </c>
      <c r="O92" s="46">
        <v>4.3322048002700344E-3</v>
      </c>
      <c r="P92" s="46">
        <v>3.960108466354772E-3</v>
      </c>
      <c r="Q92" s="46">
        <v>4.4885139939735957E-3</v>
      </c>
      <c r="R92" s="46">
        <v>1.0250237063062729E-2</v>
      </c>
      <c r="S92" s="46">
        <v>3.7285302493874767E-2</v>
      </c>
      <c r="T92" s="46">
        <v>6.9512506658891096E-2</v>
      </c>
      <c r="U92" s="46">
        <v>9.0716003236253867E-2</v>
      </c>
      <c r="V92" s="46">
        <v>9.7647804629369561E-2</v>
      </c>
      <c r="W92" s="46">
        <v>9.8044469489050129E-2</v>
      </c>
      <c r="X92" s="46">
        <v>0.11011862626211773</v>
      </c>
      <c r="Y92" s="46">
        <f>Y73/$Y$80</f>
        <v>0.12664181926132959</v>
      </c>
      <c r="Z92" s="79"/>
    </row>
    <row r="93" spans="1:26" ht="14.25" customHeight="1" x14ac:dyDescent="0.25">
      <c r="A93" s="104"/>
      <c r="B93" s="51"/>
      <c r="C93" s="12" t="s">
        <v>54</v>
      </c>
      <c r="D93" s="81" t="s">
        <v>35</v>
      </c>
      <c r="E93" s="46">
        <v>0</v>
      </c>
      <c r="F93" s="46">
        <v>0</v>
      </c>
      <c r="G93" s="46">
        <v>0</v>
      </c>
      <c r="H93" s="46">
        <v>0</v>
      </c>
      <c r="I93" s="46">
        <v>0</v>
      </c>
      <c r="J93" s="46">
        <v>0</v>
      </c>
      <c r="K93" s="46">
        <v>0</v>
      </c>
      <c r="L93" s="46">
        <v>2.8832644209782747E-4</v>
      </c>
      <c r="M93" s="46">
        <v>8.3616069532502018E-4</v>
      </c>
      <c r="N93" s="46">
        <v>7.8539934175554172E-4</v>
      </c>
      <c r="O93" s="46">
        <v>6.1081714065382706E-4</v>
      </c>
      <c r="P93" s="46">
        <v>4.1653126036989772E-4</v>
      </c>
      <c r="Q93" s="46">
        <v>4.6686814902415202E-4</v>
      </c>
      <c r="R93" s="46">
        <v>1.0542880186709446E-3</v>
      </c>
      <c r="S93" s="46">
        <v>1.9070277643120847E-3</v>
      </c>
      <c r="T93" s="46">
        <v>2.2465854019089993E-3</v>
      </c>
      <c r="U93" s="46">
        <v>2.6502764075102101E-3</v>
      </c>
      <c r="V93" s="46">
        <v>2.8805849172274679E-3</v>
      </c>
      <c r="W93" s="46">
        <v>2.9504450723089573E-3</v>
      </c>
      <c r="X93" s="46">
        <v>3.4864129151504415E-3</v>
      </c>
      <c r="Y93" s="46">
        <f t="shared" ref="Y93:Y96" si="3">Y74/$Y$80</f>
        <v>3.5472704616806789E-3</v>
      </c>
      <c r="Z93" s="79"/>
    </row>
    <row r="94" spans="1:26" ht="14.25" customHeight="1" x14ac:dyDescent="0.25">
      <c r="A94" s="104"/>
      <c r="B94" s="51"/>
      <c r="C94" s="12" t="s">
        <v>55</v>
      </c>
      <c r="D94" s="81" t="s">
        <v>35</v>
      </c>
      <c r="E94" s="46">
        <v>7.2701737944328371E-7</v>
      </c>
      <c r="F94" s="46">
        <v>2.2938569565710426E-10</v>
      </c>
      <c r="G94" s="46">
        <v>9.2181242754597819E-12</v>
      </c>
      <c r="H94" s="46">
        <v>3.2305787016252983E-7</v>
      </c>
      <c r="I94" s="46">
        <v>2.1586324870499914E-4</v>
      </c>
      <c r="J94" s="46">
        <v>6.4421035673465331E-4</v>
      </c>
      <c r="K94" s="46">
        <v>8.0533915540605149E-4</v>
      </c>
      <c r="L94" s="46">
        <v>1.010835133971101E-3</v>
      </c>
      <c r="M94" s="46">
        <v>1.0313070404461817E-3</v>
      </c>
      <c r="N94" s="46">
        <v>8.5686558143398966E-4</v>
      </c>
      <c r="O94" s="46">
        <v>1.4245863745060018E-3</v>
      </c>
      <c r="P94" s="46">
        <v>1.3994172288389456E-3</v>
      </c>
      <c r="Q94" s="46">
        <v>1.7682370150338561E-3</v>
      </c>
      <c r="R94" s="46">
        <v>1.826236002254029E-3</v>
      </c>
      <c r="S94" s="46">
        <v>2.2326434321949511E-3</v>
      </c>
      <c r="T94" s="46">
        <v>3.1094318437381303E-3</v>
      </c>
      <c r="U94" s="46">
        <v>5.26019027881081E-3</v>
      </c>
      <c r="V94" s="46">
        <v>5.3023603835335399E-3</v>
      </c>
      <c r="W94" s="46">
        <v>4.9585010778677259E-3</v>
      </c>
      <c r="X94" s="46">
        <v>5.0915191399957867E-3</v>
      </c>
      <c r="Y94" s="46">
        <f t="shared" si="3"/>
        <v>6.9995505889515223E-3</v>
      </c>
      <c r="Z94" s="79"/>
    </row>
    <row r="95" spans="1:26" ht="14.25" customHeight="1" x14ac:dyDescent="0.25">
      <c r="A95" s="104"/>
      <c r="B95" s="51"/>
      <c r="C95" s="12" t="s">
        <v>56</v>
      </c>
      <c r="D95" s="81" t="s">
        <v>35</v>
      </c>
      <c r="E95" s="46">
        <v>0</v>
      </c>
      <c r="F95" s="46">
        <v>0</v>
      </c>
      <c r="G95" s="46">
        <v>0</v>
      </c>
      <c r="H95" s="46">
        <v>0</v>
      </c>
      <c r="I95" s="46">
        <v>0</v>
      </c>
      <c r="J95" s="46">
        <v>0</v>
      </c>
      <c r="K95" s="46">
        <v>1.4543743406671145E-5</v>
      </c>
      <c r="L95" s="46">
        <v>6.4285530456206533E-5</v>
      </c>
      <c r="M95" s="46">
        <v>1.1571353199174462E-4</v>
      </c>
      <c r="N95" s="46">
        <v>1.2003216366697562E-4</v>
      </c>
      <c r="O95" s="46">
        <v>1.0718635377049212E-4</v>
      </c>
      <c r="P95" s="46">
        <v>1.0330530472924581E-4</v>
      </c>
      <c r="Q95" s="46">
        <v>1.1957235831296853E-4</v>
      </c>
      <c r="R95" s="46">
        <v>7.8444576241165956E-4</v>
      </c>
      <c r="S95" s="46">
        <v>5.9681133439484719E-3</v>
      </c>
      <c r="T95" s="46">
        <v>9.9301494758036561E-3</v>
      </c>
      <c r="U95" s="46">
        <v>1.53949344282581E-2</v>
      </c>
      <c r="V95" s="46">
        <v>2.0187234527293138E-2</v>
      </c>
      <c r="W95" s="46">
        <v>2.2076876320950973E-2</v>
      </c>
      <c r="X95" s="46">
        <v>2.6849708923266533E-2</v>
      </c>
      <c r="Y95" s="46">
        <f>Y76/$Y$80</f>
        <v>3.47117647594994E-2</v>
      </c>
      <c r="Z95" s="79"/>
    </row>
    <row r="96" spans="1:26" ht="14.25" customHeight="1" x14ac:dyDescent="0.25">
      <c r="A96" s="104"/>
      <c r="B96" s="51"/>
      <c r="C96" s="12" t="s">
        <v>137</v>
      </c>
      <c r="D96" s="81" t="s">
        <v>35</v>
      </c>
      <c r="E96" s="46">
        <v>1.346042523179042E-2</v>
      </c>
      <c r="F96" s="46">
        <v>1.8227026162211547E-2</v>
      </c>
      <c r="G96" s="46">
        <v>1.7180790687412958E-2</v>
      </c>
      <c r="H96" s="46">
        <v>1.5666419991887701E-2</v>
      </c>
      <c r="I96" s="46">
        <v>1.3697189161256248E-2</v>
      </c>
      <c r="J96" s="46">
        <v>1.2331600235713117E-2</v>
      </c>
      <c r="K96" s="46">
        <v>1.0354664523984161E-2</v>
      </c>
      <c r="L96" s="46">
        <v>1.1559660096049041E-2</v>
      </c>
      <c r="M96" s="46">
        <v>9.8139212224480441E-3</v>
      </c>
      <c r="N96" s="46">
        <v>1.1102780460662716E-2</v>
      </c>
      <c r="O96" s="46">
        <v>1.1863731906910003E-2</v>
      </c>
      <c r="P96" s="46">
        <v>1.318233070721333E-2</v>
      </c>
      <c r="Q96" s="46">
        <v>1.236072954979172E-2</v>
      </c>
      <c r="R96" s="46">
        <v>1.0392566975908849E-2</v>
      </c>
      <c r="S96" s="46">
        <v>1.090953039240424E-2</v>
      </c>
      <c r="T96" s="46">
        <v>9.2854740085997686E-3</v>
      </c>
      <c r="U96" s="46">
        <v>8.2418968485886875E-3</v>
      </c>
      <c r="V96" s="46">
        <v>7.310888795921012E-3</v>
      </c>
      <c r="W96" s="46">
        <v>8.0150892922056481E-3</v>
      </c>
      <c r="X96" s="46">
        <v>1.0297754608526886E-2</v>
      </c>
      <c r="Y96" s="46">
        <f t="shared" si="3"/>
        <v>9.341648350558519E-3</v>
      </c>
      <c r="Z96" s="79"/>
    </row>
    <row r="97" spans="1:26" ht="14.25" customHeight="1" x14ac:dyDescent="0.25">
      <c r="A97" s="104"/>
      <c r="B97" s="51"/>
      <c r="C97" s="37" t="s">
        <v>138</v>
      </c>
      <c r="D97" s="87" t="s">
        <v>35</v>
      </c>
      <c r="E97" s="42">
        <v>1.3461152249169861E-2</v>
      </c>
      <c r="F97" s="42">
        <v>1.8227026391597241E-2</v>
      </c>
      <c r="G97" s="42">
        <v>1.7180790696631081E-2</v>
      </c>
      <c r="H97" s="42">
        <v>1.5666743049757861E-2</v>
      </c>
      <c r="I97" s="42">
        <v>1.3913052409961248E-2</v>
      </c>
      <c r="J97" s="42">
        <v>1.2976254614601345E-2</v>
      </c>
      <c r="K97" s="50">
        <v>1.130626687293231E-2</v>
      </c>
      <c r="L97" s="50">
        <v>1.5698459824657719E-2</v>
      </c>
      <c r="M97" s="50">
        <v>1.5240196429828337E-2</v>
      </c>
      <c r="N97" s="50">
        <v>1.7539352786121259E-2</v>
      </c>
      <c r="O97" s="50">
        <v>1.8338526576110358E-2</v>
      </c>
      <c r="P97" s="50">
        <v>1.9061692967506191E-2</v>
      </c>
      <c r="Q97" s="50">
        <v>1.920392106613629E-2</v>
      </c>
      <c r="R97" s="50">
        <v>2.4307773822308212E-2</v>
      </c>
      <c r="S97" s="50">
        <v>5.8302617426734517E-2</v>
      </c>
      <c r="T97" s="50">
        <v>9.4084147388941664E-2</v>
      </c>
      <c r="U97" s="50">
        <v>0.12226330119942168</v>
      </c>
      <c r="V97" s="50">
        <v>0.13332887325334472</v>
      </c>
      <c r="W97" s="50">
        <v>0.13604538125238344</v>
      </c>
      <c r="X97" s="50">
        <v>0.15584402184905738</v>
      </c>
      <c r="Y97" s="50">
        <f>Y78/Y80</f>
        <v>0.18124205342201971</v>
      </c>
      <c r="Z97" s="79"/>
    </row>
    <row r="98" spans="1:26" ht="14.25" customHeight="1" x14ac:dyDescent="0.25">
      <c r="A98" s="104"/>
      <c r="B98" s="51"/>
      <c r="C98" s="37" t="s">
        <v>0</v>
      </c>
      <c r="D98" s="87" t="s">
        <v>35</v>
      </c>
      <c r="E98" s="42">
        <v>1.2445807401329025E-2</v>
      </c>
      <c r="F98" s="42">
        <v>5.341656074557246E-3</v>
      </c>
      <c r="G98" s="42">
        <v>3.1884757211965001E-2</v>
      </c>
      <c r="H98" s="42">
        <v>1.5786903128097798E-2</v>
      </c>
      <c r="I98" s="42">
        <v>1.4388770551196048E-2</v>
      </c>
      <c r="J98" s="42">
        <v>2.0313915811551946E-2</v>
      </c>
      <c r="K98" s="42">
        <v>1.9897457377072859E-2</v>
      </c>
      <c r="L98" s="42">
        <v>2.7464651416429869E-3</v>
      </c>
      <c r="M98" s="42">
        <v>2.6367867473799721E-3</v>
      </c>
      <c r="N98" s="42">
        <v>1.0591531768998241E-2</v>
      </c>
      <c r="O98" s="42">
        <v>1.2089070346201814E-2</v>
      </c>
      <c r="P98" s="42">
        <v>1.0646003766628633E-2</v>
      </c>
      <c r="Q98" s="42">
        <v>5.3490600603309825E-3</v>
      </c>
      <c r="R98" s="42">
        <v>2.4925464684058709E-3</v>
      </c>
      <c r="S98" s="42">
        <v>2.0496159801525977E-2</v>
      </c>
      <c r="T98" s="42">
        <v>8.8908149469522427E-3</v>
      </c>
      <c r="U98" s="42">
        <v>5.7425947670748006E-3</v>
      </c>
      <c r="V98" s="42">
        <v>4.350017855860442E-2</v>
      </c>
      <c r="W98" s="42">
        <v>4.2268354675597163E-2</v>
      </c>
      <c r="X98" s="42">
        <v>3.170404744415193E-2</v>
      </c>
      <c r="Y98" s="42">
        <f>Y79/Y80</f>
        <v>2.925903490705152E-2</v>
      </c>
      <c r="Z98" s="79"/>
    </row>
    <row r="99" spans="1:26" ht="14.25" customHeight="1" x14ac:dyDescent="0.25">
      <c r="A99" s="104"/>
      <c r="B99" s="51"/>
      <c r="C99" s="14" t="s">
        <v>50</v>
      </c>
      <c r="D99" s="84" t="s">
        <v>35</v>
      </c>
      <c r="E99" s="15">
        <v>1</v>
      </c>
      <c r="F99" s="15">
        <v>1</v>
      </c>
      <c r="G99" s="15">
        <v>1</v>
      </c>
      <c r="H99" s="15">
        <v>1</v>
      </c>
      <c r="I99" s="15">
        <v>1</v>
      </c>
      <c r="J99" s="15">
        <v>1</v>
      </c>
      <c r="K99" s="15">
        <v>1</v>
      </c>
      <c r="L99" s="15">
        <v>1</v>
      </c>
      <c r="M99" s="15">
        <v>1</v>
      </c>
      <c r="N99" s="15">
        <v>1</v>
      </c>
      <c r="O99" s="15">
        <v>1</v>
      </c>
      <c r="P99" s="15">
        <v>1</v>
      </c>
      <c r="Q99" s="15">
        <v>1</v>
      </c>
      <c r="R99" s="15">
        <v>1</v>
      </c>
      <c r="S99" s="15">
        <v>1</v>
      </c>
      <c r="T99" s="15">
        <v>1</v>
      </c>
      <c r="U99" s="15">
        <v>1</v>
      </c>
      <c r="V99" s="15">
        <v>1</v>
      </c>
      <c r="W99" s="15">
        <v>1</v>
      </c>
      <c r="X99" s="15">
        <v>1</v>
      </c>
      <c r="Y99" s="15">
        <f>Y80/Y80</f>
        <v>1</v>
      </c>
      <c r="Z99" s="79"/>
    </row>
    <row r="100" spans="1:26" ht="14.25" customHeight="1" x14ac:dyDescent="0.25">
      <c r="A100" s="105"/>
      <c r="B100" s="51" t="s">
        <v>77</v>
      </c>
      <c r="C100" s="14" t="s">
        <v>57</v>
      </c>
      <c r="D100" s="84" t="s">
        <v>35</v>
      </c>
      <c r="E100" s="16">
        <v>1.4302222968066495E-2</v>
      </c>
      <c r="F100" s="16">
        <v>1.9540387130488245E-2</v>
      </c>
      <c r="G100" s="16">
        <v>1.8100646767473701E-2</v>
      </c>
      <c r="H100" s="16">
        <v>1.6613710523577824E-2</v>
      </c>
      <c r="I100" s="16">
        <v>1.4741632981850633E-2</v>
      </c>
      <c r="J100" s="16">
        <v>1.3661002932990548E-2</v>
      </c>
      <c r="K100" s="16">
        <v>1.2043935553909183E-2</v>
      </c>
      <c r="L100" s="16">
        <v>1.7690437625985954E-2</v>
      </c>
      <c r="M100" s="16">
        <v>1.5815490627188379E-2</v>
      </c>
      <c r="N100" s="16">
        <v>1.8209086798785544E-2</v>
      </c>
      <c r="O100" s="16">
        <v>1.8999396116540043E-2</v>
      </c>
      <c r="P100" s="16">
        <v>1.9778559345370563E-2</v>
      </c>
      <c r="Q100" s="16">
        <v>1.9880377059028346E-2</v>
      </c>
      <c r="R100" s="16">
        <v>2.5187804235522162E-2</v>
      </c>
      <c r="S100" s="16">
        <v>6.0584541080198423E-2</v>
      </c>
      <c r="T100" s="16">
        <v>0.10005079860539547</v>
      </c>
      <c r="U100" s="16">
        <v>0.1302436950615056</v>
      </c>
      <c r="V100" s="16">
        <v>0.13936371353595223</v>
      </c>
      <c r="W100" s="16">
        <v>0.1425709505461113</v>
      </c>
      <c r="X100" s="16">
        <v>0.16314881266601022</v>
      </c>
      <c r="Y100" s="16">
        <f>+(Y78+Y121)/Y10</f>
        <v>0.18874006763316611</v>
      </c>
      <c r="Z100" s="79"/>
    </row>
    <row r="101" spans="1:26" ht="14.25" customHeight="1" x14ac:dyDescent="0.25">
      <c r="A101" s="109" t="s">
        <v>74</v>
      </c>
      <c r="B101" s="51"/>
      <c r="C101" s="12" t="s">
        <v>58</v>
      </c>
      <c r="D101" s="83" t="s">
        <v>16</v>
      </c>
      <c r="E101" s="13">
        <v>10053.338</v>
      </c>
      <c r="F101" s="13">
        <v>11048.852999999999</v>
      </c>
      <c r="G101" s="13">
        <v>11980.546</v>
      </c>
      <c r="H101" s="13">
        <v>13093.127410000001</v>
      </c>
      <c r="I101" s="13">
        <v>12601.360920000001</v>
      </c>
      <c r="J101" s="13">
        <v>11537.487799999999</v>
      </c>
      <c r="K101" s="13">
        <v>12674.162765000023</v>
      </c>
      <c r="L101" s="13">
        <v>14036.813905999987</v>
      </c>
      <c r="M101" s="13">
        <v>13952.133607</v>
      </c>
      <c r="N101" s="13">
        <v>14355.088181000003</v>
      </c>
      <c r="O101" s="13">
        <v>14418.440156000002</v>
      </c>
      <c r="P101" s="13">
        <v>15588.561777999996</v>
      </c>
      <c r="Q101" s="13">
        <v>17116.947609999999</v>
      </c>
      <c r="R101" s="13">
        <v>18040</v>
      </c>
      <c r="S101" s="13">
        <v>17208.09056700001</v>
      </c>
      <c r="T101" s="13">
        <v>16294.116862000052</v>
      </c>
      <c r="U101" s="13">
        <v>16361.369635999996</v>
      </c>
      <c r="V101" s="13">
        <v>14219.852863999995</v>
      </c>
      <c r="W101" s="13">
        <v>13951.780326999999</v>
      </c>
      <c r="X101" s="13">
        <v>15261.159891000003</v>
      </c>
      <c r="Y101" s="13">
        <v>15401.630999999999</v>
      </c>
      <c r="Z101" s="79"/>
    </row>
    <row r="102" spans="1:26" ht="14.25" customHeight="1" x14ac:dyDescent="0.25">
      <c r="A102" s="110"/>
      <c r="B102" s="51"/>
      <c r="C102" s="12" t="s">
        <v>60</v>
      </c>
      <c r="D102" s="83" t="s">
        <v>18</v>
      </c>
      <c r="E102" s="13">
        <v>66.424000000000007</v>
      </c>
      <c r="F102" s="13">
        <v>143.773</v>
      </c>
      <c r="G102" s="13">
        <v>766.15499999999997</v>
      </c>
      <c r="H102" s="13">
        <v>842.65462999999988</v>
      </c>
      <c r="I102" s="13">
        <v>976.7199300000002</v>
      </c>
      <c r="J102" s="13">
        <v>1667.67318</v>
      </c>
      <c r="K102" s="13">
        <v>2019.3220569999983</v>
      </c>
      <c r="L102" s="13">
        <v>1828.2728080000043</v>
      </c>
      <c r="M102" s="13">
        <v>2593.1968979999997</v>
      </c>
      <c r="N102" s="13">
        <v>1799.1537240000007</v>
      </c>
      <c r="O102" s="13">
        <v>2239.7080899999992</v>
      </c>
      <c r="P102" s="13">
        <v>2380.8723730000002</v>
      </c>
      <c r="Q102" s="13">
        <v>1396.6991919999996</v>
      </c>
      <c r="R102" s="13">
        <v>874</v>
      </c>
      <c r="S102" s="13">
        <v>403.41812500000066</v>
      </c>
      <c r="T102" s="13">
        <v>852.41630699999962</v>
      </c>
      <c r="U102" s="13">
        <v>2025.2685129999995</v>
      </c>
      <c r="V102" s="13">
        <v>2435.6994079999981</v>
      </c>
      <c r="W102" s="13">
        <v>1300.3342339999997</v>
      </c>
      <c r="X102" s="13">
        <v>944.81461000000002</v>
      </c>
      <c r="Y102" s="13">
        <v>439.27659300000005</v>
      </c>
      <c r="Z102" s="79"/>
    </row>
    <row r="103" spans="1:26" ht="14.25" customHeight="1" x14ac:dyDescent="0.25">
      <c r="A103" s="110"/>
      <c r="B103" s="51"/>
      <c r="C103" s="12" t="s">
        <v>59</v>
      </c>
      <c r="D103" s="83" t="s">
        <v>17</v>
      </c>
      <c r="E103" s="13">
        <v>1131.25</v>
      </c>
      <c r="F103" s="13">
        <v>1549.42</v>
      </c>
      <c r="G103" s="13">
        <v>1897.2249999999999</v>
      </c>
      <c r="H103" s="13">
        <v>2347.2489300000007</v>
      </c>
      <c r="I103" s="13">
        <v>1603.2688400000002</v>
      </c>
      <c r="J103" s="13">
        <v>2261.8278100000002</v>
      </c>
      <c r="K103" s="13">
        <v>2573.4918140000027</v>
      </c>
      <c r="L103" s="13">
        <v>2859.6791680000001</v>
      </c>
      <c r="M103" s="13">
        <v>2232.8449560000004</v>
      </c>
      <c r="N103" s="13">
        <v>2717.2653169999999</v>
      </c>
      <c r="O103" s="13">
        <v>3088.2043600000002</v>
      </c>
      <c r="P103" s="13">
        <v>2650.6006200000002</v>
      </c>
      <c r="Q103" s="13">
        <v>1285.818049</v>
      </c>
      <c r="R103" s="13">
        <v>565.04226500000016</v>
      </c>
      <c r="S103" s="13">
        <v>185.59244400000009</v>
      </c>
      <c r="T103" s="13">
        <v>579.80876899999964</v>
      </c>
      <c r="U103" s="13">
        <v>748.02476099999967</v>
      </c>
      <c r="V103" s="13">
        <v>1112.5885779999994</v>
      </c>
      <c r="W103" s="13">
        <v>673.63461800000016</v>
      </c>
      <c r="X103" s="13">
        <v>233.40495300000001</v>
      </c>
      <c r="Y103" s="13">
        <v>91.365083000000027</v>
      </c>
      <c r="Z103" s="79"/>
    </row>
    <row r="104" spans="1:26" ht="14.25" customHeight="1" x14ac:dyDescent="0.25">
      <c r="A104" s="110"/>
      <c r="B104" s="51"/>
      <c r="C104" s="12" t="s">
        <v>61</v>
      </c>
      <c r="D104" s="83" t="s">
        <v>17</v>
      </c>
      <c r="E104" s="13">
        <v>618.33299999999997</v>
      </c>
      <c r="F104" s="13">
        <v>590.69100000000003</v>
      </c>
      <c r="G104" s="13">
        <v>589.35799999999995</v>
      </c>
      <c r="H104" s="13">
        <v>803.42490999999995</v>
      </c>
      <c r="I104" s="13">
        <v>795.74670000000003</v>
      </c>
      <c r="J104" s="13">
        <v>873.90400999999997</v>
      </c>
      <c r="K104" s="13">
        <v>999.0139099999999</v>
      </c>
      <c r="L104" s="13">
        <v>966.57503900000029</v>
      </c>
      <c r="M104" s="13">
        <v>851.27832000000012</v>
      </c>
      <c r="N104" s="13">
        <v>1004.376563</v>
      </c>
      <c r="O104" s="13">
        <v>949.100955</v>
      </c>
      <c r="P104" s="13">
        <v>725.26185500000008</v>
      </c>
      <c r="Q104" s="13">
        <v>653.61727899999994</v>
      </c>
      <c r="R104" s="13">
        <v>657.31650999999999</v>
      </c>
      <c r="S104" s="13">
        <v>221.84211800000003</v>
      </c>
      <c r="T104" s="13">
        <v>474.98763099999991</v>
      </c>
      <c r="U104" s="13">
        <v>865.71113400000013</v>
      </c>
      <c r="V104" s="13">
        <v>777.02526499999976</v>
      </c>
      <c r="W104" s="13">
        <v>520.63258500000006</v>
      </c>
      <c r="X104" s="13">
        <v>252.75400399999998</v>
      </c>
      <c r="Y104" s="13">
        <v>265.95686600000005</v>
      </c>
      <c r="Z104" s="79"/>
    </row>
    <row r="105" spans="1:26" ht="14.25" customHeight="1" x14ac:dyDescent="0.25">
      <c r="A105" s="110"/>
      <c r="B105" s="51" t="s">
        <v>97</v>
      </c>
      <c r="C105" s="12" t="s">
        <v>62</v>
      </c>
      <c r="D105" s="83" t="s">
        <v>17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6.9455530000000003</v>
      </c>
      <c r="L105" s="13">
        <v>39.257985999999995</v>
      </c>
      <c r="M105" s="13">
        <v>1.0654950000000001</v>
      </c>
      <c r="N105" s="13">
        <v>0.37859399999999999</v>
      </c>
      <c r="O105" s="13">
        <v>0</v>
      </c>
      <c r="P105" s="13">
        <v>0.19539199999999998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79"/>
    </row>
    <row r="106" spans="1:26" ht="14.25" customHeight="1" x14ac:dyDescent="0.25">
      <c r="A106" s="110"/>
      <c r="B106" s="51" t="s">
        <v>74</v>
      </c>
      <c r="C106" s="37" t="s">
        <v>63</v>
      </c>
      <c r="D106" s="80" t="s">
        <v>21</v>
      </c>
      <c r="E106" s="52">
        <v>27.543391780821917</v>
      </c>
      <c r="F106" s="52">
        <v>30.270830136986298</v>
      </c>
      <c r="G106" s="52">
        <v>32.823413698630141</v>
      </c>
      <c r="H106" s="52">
        <v>35.773572158469946</v>
      </c>
      <c r="I106" s="52">
        <v>34.524276493150687</v>
      </c>
      <c r="J106" s="52">
        <v>31.609555616438353</v>
      </c>
      <c r="K106" s="52">
        <v>34.723733602739792</v>
      </c>
      <c r="L106" s="52">
        <v>38.351950562841495</v>
      </c>
      <c r="M106" s="52">
        <v>38.225023580821919</v>
      </c>
      <c r="N106" s="52">
        <v>39.329008715068504</v>
      </c>
      <c r="O106" s="52">
        <v>39.502575769863022</v>
      </c>
      <c r="P106" s="52">
        <v>42.591698846994525</v>
      </c>
      <c r="Q106" s="52">
        <v>46.89574687671233</v>
      </c>
      <c r="R106" s="52">
        <v>49.424657534246577</v>
      </c>
      <c r="S106" s="52">
        <v>47.145453608219206</v>
      </c>
      <c r="T106" s="52">
        <v>44.519444978142218</v>
      </c>
      <c r="U106" s="52">
        <v>44.825670235616428</v>
      </c>
      <c r="V106" s="52">
        <v>38.958500997260259</v>
      </c>
      <c r="W106" s="52">
        <v>38.224055690410957</v>
      </c>
      <c r="X106" s="52">
        <v>41.697158172131154</v>
      </c>
      <c r="Y106" s="52">
        <v>42.172535720547934</v>
      </c>
      <c r="Z106" s="79"/>
    </row>
    <row r="107" spans="1:26" ht="14.25" customHeight="1" x14ac:dyDescent="0.25">
      <c r="A107" s="110"/>
      <c r="B107" s="51"/>
      <c r="C107" s="37" t="s">
        <v>65</v>
      </c>
      <c r="D107" s="80" t="s">
        <v>21</v>
      </c>
      <c r="E107" s="52">
        <v>0.1858832093933464</v>
      </c>
      <c r="F107" s="52">
        <v>0.40233931506849313</v>
      </c>
      <c r="G107" s="52">
        <v>2.1440345401174166</v>
      </c>
      <c r="H107" s="52">
        <v>2.3516708058157687</v>
      </c>
      <c r="I107" s="52">
        <v>2.7332866925636012</v>
      </c>
      <c r="J107" s="52">
        <v>4.6668740653620358</v>
      </c>
      <c r="K107" s="52">
        <v>5.6509403943444179</v>
      </c>
      <c r="L107" s="52">
        <v>5.1023226296643367</v>
      </c>
      <c r="M107" s="52">
        <v>7.256891514951076</v>
      </c>
      <c r="N107" s="52">
        <v>5.0348137481800412</v>
      </c>
      <c r="O107" s="52">
        <v>6.267676259686886</v>
      </c>
      <c r="P107" s="52">
        <v>6.6445111112217017</v>
      </c>
      <c r="Q107" s="52">
        <v>3.9085711243835606</v>
      </c>
      <c r="R107" s="52">
        <v>2.445831702544031</v>
      </c>
      <c r="S107" s="52">
        <v>1.1289391756360097</v>
      </c>
      <c r="T107" s="52">
        <v>2.378913581206088</v>
      </c>
      <c r="U107" s="52">
        <v>5.6675811616242653</v>
      </c>
      <c r="V107" s="52">
        <v>6.8161451143639864</v>
      </c>
      <c r="W107" s="52">
        <v>3.6389001068884532</v>
      </c>
      <c r="X107" s="52">
        <v>2.6367776976971116</v>
      </c>
      <c r="Y107" s="52">
        <f>+Y102*8580/8400/Y$170</f>
        <v>1.2292867475342466</v>
      </c>
      <c r="Z107" s="79"/>
    </row>
    <row r="108" spans="1:26" ht="14.25" customHeight="1" x14ac:dyDescent="0.25">
      <c r="A108" s="110"/>
      <c r="B108" s="51" t="s">
        <v>123</v>
      </c>
      <c r="C108" s="37" t="s">
        <v>64</v>
      </c>
      <c r="D108" s="80" t="s">
        <v>21</v>
      </c>
      <c r="E108" s="52">
        <v>3.6158675799086759</v>
      </c>
      <c r="F108" s="52">
        <v>4.9524840182648404</v>
      </c>
      <c r="G108" s="52">
        <v>6.0641894977168951</v>
      </c>
      <c r="H108" s="52">
        <v>7.4821231830601116</v>
      </c>
      <c r="I108" s="52">
        <v>5.1246035981735165</v>
      </c>
      <c r="J108" s="52">
        <v>7.2295866073059374</v>
      </c>
      <c r="K108" s="52">
        <v>8.2257729214611963</v>
      </c>
      <c r="L108" s="52">
        <v>9.1155529034608378</v>
      </c>
      <c r="M108" s="52">
        <v>7.1369473479452061</v>
      </c>
      <c r="N108" s="52">
        <v>8.6853229310502265</v>
      </c>
      <c r="O108" s="52">
        <v>9.8709728401826489</v>
      </c>
      <c r="P108" s="52">
        <v>8.4490912295081984</v>
      </c>
      <c r="Q108" s="52">
        <v>4.1099207045662105</v>
      </c>
      <c r="R108" s="52">
        <v>1.8060711666666673</v>
      </c>
      <c r="S108" s="52">
        <v>0.59321785753424694</v>
      </c>
      <c r="T108" s="52">
        <v>1.8482064585610189</v>
      </c>
      <c r="U108" s="52">
        <v>2.3909467246575331</v>
      </c>
      <c r="V108" s="52">
        <v>3.5562191990867564</v>
      </c>
      <c r="W108" s="52">
        <v>2.1531700118721466</v>
      </c>
      <c r="X108" s="52">
        <v>0.74400485928961757</v>
      </c>
      <c r="Y108" s="52">
        <f>+Y103*9800/8400/Y$170</f>
        <v>0.29203451187214619</v>
      </c>
      <c r="Z108" s="79"/>
    </row>
    <row r="109" spans="1:26" ht="14.25" customHeight="1" x14ac:dyDescent="0.25">
      <c r="A109" s="110"/>
      <c r="B109" s="51"/>
      <c r="C109" s="37" t="s">
        <v>66</v>
      </c>
      <c r="D109" s="80" t="s">
        <v>21</v>
      </c>
      <c r="E109" s="52">
        <v>1.0890405088062622</v>
      </c>
      <c r="F109" s="52">
        <v>1.0403559686888455</v>
      </c>
      <c r="G109" s="52">
        <v>1.0380082191780822</v>
      </c>
      <c r="H109" s="52">
        <v>1.4111678747072598</v>
      </c>
      <c r="I109" s="52">
        <v>1.4015108219178085</v>
      </c>
      <c r="J109" s="52">
        <v>1.5391655753424658</v>
      </c>
      <c r="K109" s="52">
        <v>1.7595156927592952</v>
      </c>
      <c r="L109" s="52">
        <v>1.6977313331381738</v>
      </c>
      <c r="M109" s="52">
        <v>1.499316023483366</v>
      </c>
      <c r="N109" s="52">
        <v>1.7689606784735812</v>
      </c>
      <c r="O109" s="52">
        <v>1.6716063786692756</v>
      </c>
      <c r="P109" s="52">
        <v>1.273879136416862</v>
      </c>
      <c r="Q109" s="52">
        <v>1.1511850315068493</v>
      </c>
      <c r="R109" s="52">
        <v>1.1577003111545989</v>
      </c>
      <c r="S109" s="52">
        <v>0.39071997299412914</v>
      </c>
      <c r="T109" s="52">
        <v>0.8342874080796252</v>
      </c>
      <c r="U109" s="52">
        <v>1.524735852446184</v>
      </c>
      <c r="V109" s="52">
        <v>1.3685376487279839</v>
      </c>
      <c r="W109" s="52">
        <v>0.91696541389432495</v>
      </c>
      <c r="X109" s="52">
        <v>0.44394731381733016</v>
      </c>
      <c r="Y109" s="52">
        <f>+Y104*5400/8400/Y$170</f>
        <v>0.46841718082191791</v>
      </c>
      <c r="Z109" s="79"/>
    </row>
    <row r="110" spans="1:26" ht="14.25" customHeight="1" x14ac:dyDescent="0.25">
      <c r="A110" s="110"/>
      <c r="B110" s="51"/>
      <c r="C110" s="37" t="s">
        <v>67</v>
      </c>
      <c r="D110" s="80" t="s">
        <v>21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2.0388120352250492E-2</v>
      </c>
      <c r="L110" s="52">
        <v>0.11492384660421545</v>
      </c>
      <c r="M110" s="52">
        <v>3.1276761252446183E-3</v>
      </c>
      <c r="N110" s="52">
        <v>1.1113326810176126E-3</v>
      </c>
      <c r="O110" s="52">
        <v>0</v>
      </c>
      <c r="P110" s="52">
        <v>5.7199063231850114E-4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f>+Y105*9000/8400/Y$170</f>
        <v>0</v>
      </c>
      <c r="Z110" s="79"/>
    </row>
    <row r="111" spans="1:26" ht="14.25" customHeight="1" x14ac:dyDescent="0.25">
      <c r="A111" s="110"/>
      <c r="B111" s="51"/>
      <c r="C111" s="14" t="s">
        <v>22</v>
      </c>
      <c r="D111" s="84" t="s">
        <v>21</v>
      </c>
      <c r="E111" s="17">
        <v>32.434183078930204</v>
      </c>
      <c r="F111" s="17">
        <v>36.666009439008477</v>
      </c>
      <c r="G111" s="17">
        <v>42.069645955642535</v>
      </c>
      <c r="H111" s="17">
        <v>47.018534022053089</v>
      </c>
      <c r="I111" s="17">
        <v>43.783677605805607</v>
      </c>
      <c r="J111" s="17">
        <v>45.045181864448786</v>
      </c>
      <c r="K111" s="17">
        <v>50.380350731656947</v>
      </c>
      <c r="L111" s="17">
        <v>54.382481275709061</v>
      </c>
      <c r="M111" s="17">
        <v>54.121306143326805</v>
      </c>
      <c r="N111" s="17">
        <v>54.819217405453365</v>
      </c>
      <c r="O111" s="17">
        <v>57.312831248401835</v>
      </c>
      <c r="P111" s="17">
        <v>58.959752314773596</v>
      </c>
      <c r="Q111" s="17">
        <v>56.065423737168942</v>
      </c>
      <c r="R111" s="17">
        <v>54.834260714611872</v>
      </c>
      <c r="S111" s="17">
        <v>49.25833061438361</v>
      </c>
      <c r="T111" s="17">
        <v>49.580852425988951</v>
      </c>
      <c r="U111" s="17">
        <v>54.408933974344414</v>
      </c>
      <c r="V111" s="17">
        <v>50.699402959438991</v>
      </c>
      <c r="W111" s="17">
        <v>44.93309122306588</v>
      </c>
      <c r="X111" s="17">
        <v>45.521888042935217</v>
      </c>
      <c r="Y111" s="17">
        <f>SUM(Y106:Y110)</f>
        <v>44.162274160776242</v>
      </c>
      <c r="Z111" s="79"/>
    </row>
    <row r="112" spans="1:26" ht="14.25" customHeight="1" x14ac:dyDescent="0.25">
      <c r="A112" s="110"/>
      <c r="B112" s="73" t="s">
        <v>144</v>
      </c>
      <c r="C112" s="12" t="s">
        <v>58</v>
      </c>
      <c r="D112" s="83" t="s">
        <v>35</v>
      </c>
      <c r="E112" s="46">
        <v>0.84920874109249789</v>
      </c>
      <c r="F112" s="46">
        <v>0.82558289271538687</v>
      </c>
      <c r="G112" s="46">
        <v>0.78021606678693112</v>
      </c>
      <c r="H112" s="46">
        <v>0.76083980291029663</v>
      </c>
      <c r="I112" s="46">
        <v>0.7885193382789949</v>
      </c>
      <c r="J112" s="46">
        <v>0.70173000325670143</v>
      </c>
      <c r="K112" s="46">
        <v>0.68923167660523688</v>
      </c>
      <c r="L112" s="46">
        <v>0.70522619901074834</v>
      </c>
      <c r="M112" s="46">
        <v>0.70628420311203244</v>
      </c>
      <c r="N112" s="46">
        <v>0.71743105021335252</v>
      </c>
      <c r="O112" s="46">
        <v>0.68924488477376611</v>
      </c>
      <c r="P112" s="46">
        <v>0.72238598662366305</v>
      </c>
      <c r="Q112" s="46">
        <v>0.83644684639425071</v>
      </c>
      <c r="R112" s="46">
        <v>0.90134629135386923</v>
      </c>
      <c r="S112" s="46">
        <v>0.95710619950349196</v>
      </c>
      <c r="T112" s="46">
        <v>0.89791608654970045</v>
      </c>
      <c r="U112" s="46">
        <v>0.82386598966914504</v>
      </c>
      <c r="V112" s="46">
        <v>0.76842129735587228</v>
      </c>
      <c r="W112" s="46">
        <v>0.85068831567032455</v>
      </c>
      <c r="X112" s="46">
        <v>0.9159804209527368</v>
      </c>
      <c r="Y112" s="46">
        <f>Y106/$Y$111</f>
        <v>0.95494483746501579</v>
      </c>
      <c r="Z112" s="79"/>
    </row>
    <row r="113" spans="1:26" ht="14.25" customHeight="1" x14ac:dyDescent="0.25">
      <c r="A113" s="110"/>
      <c r="B113" s="73" t="s">
        <v>145</v>
      </c>
      <c r="C113" s="12" t="s">
        <v>60</v>
      </c>
      <c r="D113" s="83" t="s">
        <v>35</v>
      </c>
      <c r="E113" s="46">
        <v>5.7310896020100251E-3</v>
      </c>
      <c r="F113" s="46">
        <v>1.097308709685897E-2</v>
      </c>
      <c r="G113" s="46">
        <v>5.0963931153070491E-2</v>
      </c>
      <c r="H113" s="46">
        <v>5.0015825774422595E-2</v>
      </c>
      <c r="I113" s="46">
        <v>6.2427069675873324E-2</v>
      </c>
      <c r="J113" s="46">
        <v>0.10360428956432506</v>
      </c>
      <c r="K113" s="46">
        <v>0.11216556280926403</v>
      </c>
      <c r="L113" s="46">
        <v>9.3822909693960274E-2</v>
      </c>
      <c r="M113" s="46">
        <v>0.1340856685116395</v>
      </c>
      <c r="N113" s="46">
        <v>9.1843955212669318E-2</v>
      </c>
      <c r="O113" s="46">
        <v>0.10935904095405616</v>
      </c>
      <c r="P113" s="46">
        <v>0.11269570936709619</v>
      </c>
      <c r="Q113" s="46">
        <v>6.9714466846923118E-2</v>
      </c>
      <c r="R113" s="46">
        <v>4.4604079104366985E-2</v>
      </c>
      <c r="S113" s="46">
        <v>2.2918746160397799E-2</v>
      </c>
      <c r="T113" s="46">
        <v>4.7980489741623028E-2</v>
      </c>
      <c r="U113" s="46">
        <v>0.10416637025633906</v>
      </c>
      <c r="V113" s="46">
        <v>0.13444231522444361</v>
      </c>
      <c r="W113" s="46">
        <v>8.0984860107298079E-2</v>
      </c>
      <c r="X113" s="46">
        <v>5.7923293849546892E-2</v>
      </c>
      <c r="Y113" s="46">
        <f t="shared" ref="Y113:Y116" si="4">Y107/$Y$111</f>
        <v>2.7835675831795512E-2</v>
      </c>
      <c r="Z113" s="79"/>
    </row>
    <row r="114" spans="1:26" ht="14.25" customHeight="1" x14ac:dyDescent="0.25">
      <c r="A114" s="110"/>
      <c r="B114" s="73"/>
      <c r="C114" s="12" t="s">
        <v>59</v>
      </c>
      <c r="D114" s="83" t="s">
        <v>35</v>
      </c>
      <c r="E114" s="46">
        <v>0.1114832327088147</v>
      </c>
      <c r="F114" s="46">
        <v>0.13507016700311977</v>
      </c>
      <c r="G114" s="46">
        <v>0.14414643527332902</v>
      </c>
      <c r="H114" s="46">
        <v>0.15913135827567004</v>
      </c>
      <c r="I114" s="46">
        <v>0.11704369935096559</v>
      </c>
      <c r="J114" s="46">
        <v>0.16049633519210579</v>
      </c>
      <c r="K114" s="46">
        <v>0.16327343501982525</v>
      </c>
      <c r="L114" s="46">
        <v>0.16761929006598064</v>
      </c>
      <c r="M114" s="46">
        <v>0.13186945874966097</v>
      </c>
      <c r="N114" s="46">
        <v>0.1584357337101682</v>
      </c>
      <c r="O114" s="46">
        <v>0.17222971933458445</v>
      </c>
      <c r="P114" s="46">
        <v>0.14330269205339083</v>
      </c>
      <c r="Q114" s="46">
        <v>7.3305799378833761E-2</v>
      </c>
      <c r="R114" s="46">
        <v>3.293691103207301E-2</v>
      </c>
      <c r="S114" s="46">
        <v>1.2042995573240666E-2</v>
      </c>
      <c r="T114" s="46">
        <v>3.7276617244931406E-2</v>
      </c>
      <c r="U114" s="46">
        <v>4.3944009742682012E-2</v>
      </c>
      <c r="V114" s="46">
        <v>7.0143216517398355E-2</v>
      </c>
      <c r="W114" s="46">
        <v>4.791947211428093E-2</v>
      </c>
      <c r="X114" s="46">
        <v>1.6343892823335645E-2</v>
      </c>
      <c r="Y114" s="46">
        <f t="shared" si="4"/>
        <v>6.6127598141565696E-3</v>
      </c>
      <c r="Z114" s="79"/>
    </row>
    <row r="115" spans="1:26" ht="14.25" customHeight="1" x14ac:dyDescent="0.25">
      <c r="A115" s="110"/>
      <c r="B115" s="73" t="s">
        <v>129</v>
      </c>
      <c r="C115" s="12" t="s">
        <v>61</v>
      </c>
      <c r="D115" s="83" t="s">
        <v>35</v>
      </c>
      <c r="E115" s="46">
        <v>3.3576936596677272E-2</v>
      </c>
      <c r="F115" s="46">
        <v>2.8373853184634396E-2</v>
      </c>
      <c r="G115" s="46">
        <v>2.4673566786669397E-2</v>
      </c>
      <c r="H115" s="46">
        <v>3.0013013039610723E-2</v>
      </c>
      <c r="I115" s="46">
        <v>3.2009892694166278E-2</v>
      </c>
      <c r="J115" s="46">
        <v>3.416937198686789E-2</v>
      </c>
      <c r="K115" s="46">
        <v>3.4924641595511716E-2</v>
      </c>
      <c r="L115" s="46">
        <v>3.1218349978019425E-2</v>
      </c>
      <c r="M115" s="46">
        <v>2.7702879518701946E-2</v>
      </c>
      <c r="N115" s="46">
        <v>3.2268988179638018E-2</v>
      </c>
      <c r="O115" s="46">
        <v>2.9166354937593286E-2</v>
      </c>
      <c r="P115" s="46">
        <v>2.1605910581440232E-2</v>
      </c>
      <c r="Q115" s="46">
        <v>2.053288737999252E-2</v>
      </c>
      <c r="R115" s="46">
        <v>2.1112718509690834E-2</v>
      </c>
      <c r="S115" s="46">
        <v>7.9320587628691885E-3</v>
      </c>
      <c r="T115" s="46">
        <v>1.682680646374515E-2</v>
      </c>
      <c r="U115" s="46">
        <v>2.8023630331833863E-2</v>
      </c>
      <c r="V115" s="46">
        <v>2.6993170902285656E-2</v>
      </c>
      <c r="W115" s="46">
        <v>2.040735210809648E-2</v>
      </c>
      <c r="X115" s="46">
        <v>9.7523923743806293E-3</v>
      </c>
      <c r="Y115" s="46">
        <f t="shared" si="4"/>
        <v>1.0606726889032215E-2</v>
      </c>
      <c r="Z115" s="79"/>
    </row>
    <row r="116" spans="1:26" ht="14.25" customHeight="1" x14ac:dyDescent="0.25">
      <c r="A116" s="110"/>
      <c r="B116" s="74"/>
      <c r="C116" s="53" t="s">
        <v>62</v>
      </c>
      <c r="D116" s="88" t="s">
        <v>35</v>
      </c>
      <c r="E116" s="54">
        <v>0</v>
      </c>
      <c r="F116" s="54">
        <v>0</v>
      </c>
      <c r="G116" s="54">
        <v>0</v>
      </c>
      <c r="H116" s="54">
        <v>0</v>
      </c>
      <c r="I116" s="54">
        <v>0</v>
      </c>
      <c r="J116" s="54">
        <v>0</v>
      </c>
      <c r="K116" s="54">
        <v>4.0468397016218933E-4</v>
      </c>
      <c r="L116" s="54">
        <v>2.1132512512912556E-3</v>
      </c>
      <c r="M116" s="54">
        <v>5.7790107965276131E-5</v>
      </c>
      <c r="N116" s="54">
        <v>2.0272684172011879E-5</v>
      </c>
      <c r="O116" s="54">
        <v>0</v>
      </c>
      <c r="P116" s="54">
        <v>9.7013744098646256E-6</v>
      </c>
      <c r="Q116" s="54">
        <v>0</v>
      </c>
      <c r="R116" s="54">
        <v>0</v>
      </c>
      <c r="S116" s="54">
        <v>0</v>
      </c>
      <c r="T116" s="54">
        <v>0</v>
      </c>
      <c r="U116" s="54">
        <v>0</v>
      </c>
      <c r="V116" s="54">
        <v>0</v>
      </c>
      <c r="W116" s="54">
        <v>0</v>
      </c>
      <c r="X116" s="54">
        <v>0</v>
      </c>
      <c r="Y116" s="54">
        <f t="shared" si="4"/>
        <v>0</v>
      </c>
      <c r="Z116" s="79"/>
    </row>
    <row r="117" spans="1:26" ht="14.25" customHeight="1" x14ac:dyDescent="0.25">
      <c r="A117" s="110"/>
      <c r="B117" s="51"/>
      <c r="C117" s="38" t="s">
        <v>37</v>
      </c>
      <c r="D117" s="85" t="s">
        <v>2</v>
      </c>
      <c r="E117" s="38">
        <v>45512.741227024555</v>
      </c>
      <c r="F117" s="38">
        <v>46208.437116685142</v>
      </c>
      <c r="G117" s="38">
        <v>49365.977859102815</v>
      </c>
      <c r="H117" s="38">
        <v>52845.602415973437</v>
      </c>
      <c r="I117" s="38">
        <v>49780.543826050729</v>
      </c>
      <c r="J117" s="38">
        <v>48857.419025299627</v>
      </c>
      <c r="K117" s="38">
        <v>52792.562435809727</v>
      </c>
      <c r="L117" s="38">
        <v>61478.813738679142</v>
      </c>
      <c r="M117" s="38">
        <v>60818.193786757904</v>
      </c>
      <c r="N117" s="38">
        <v>62565.884415990651</v>
      </c>
      <c r="O117" s="38">
        <v>63345.486333488807</v>
      </c>
      <c r="P117" s="38">
        <v>68726.885507088271</v>
      </c>
      <c r="Q117" s="38">
        <v>76173.652964459223</v>
      </c>
      <c r="R117" s="38">
        <v>80413.613666999998</v>
      </c>
      <c r="S117" s="38">
        <v>77324.450236999997</v>
      </c>
      <c r="T117" s="38">
        <v>75337.595422000013</v>
      </c>
      <c r="U117" s="38">
        <v>76258.355086999989</v>
      </c>
      <c r="V117" s="38">
        <v>64756.655781000001</v>
      </c>
      <c r="W117" s="38">
        <v>63672.982264000006</v>
      </c>
      <c r="X117" s="38">
        <v>69739.975923999998</v>
      </c>
      <c r="Y117" s="38">
        <v>72371.601188000001</v>
      </c>
      <c r="Z117" s="79"/>
    </row>
    <row r="118" spans="1:26" ht="14.25" customHeight="1" x14ac:dyDescent="0.25">
      <c r="A118" s="110"/>
      <c r="B118" s="51" t="s">
        <v>98</v>
      </c>
      <c r="C118" s="38" t="s">
        <v>39</v>
      </c>
      <c r="D118" s="85" t="s">
        <v>2</v>
      </c>
      <c r="E118" s="38">
        <v>280.5322089710815</v>
      </c>
      <c r="F118" s="38">
        <v>598.71435106094305</v>
      </c>
      <c r="G118" s="38">
        <v>3282.2908562728499</v>
      </c>
      <c r="H118" s="38">
        <v>3539.72519648465</v>
      </c>
      <c r="I118" s="38">
        <v>3951.9734402723871</v>
      </c>
      <c r="J118" s="38">
        <v>7253.5607386221091</v>
      </c>
      <c r="K118" s="38">
        <v>9108.2930396882348</v>
      </c>
      <c r="L118" s="38">
        <v>8230.0649088663249</v>
      </c>
      <c r="M118" s="38">
        <v>11944.538633402517</v>
      </c>
      <c r="N118" s="38">
        <v>8434.4904560991981</v>
      </c>
      <c r="O118" s="38">
        <v>9693.2962417185627</v>
      </c>
      <c r="P118" s="38">
        <v>10182.624089809884</v>
      </c>
      <c r="Q118" s="38">
        <v>6050.7879297882573</v>
      </c>
      <c r="R118" s="38">
        <v>3807.2161290000004</v>
      </c>
      <c r="S118" s="38">
        <v>1638.3045320000003</v>
      </c>
      <c r="T118" s="38">
        <v>3769.255013</v>
      </c>
      <c r="U118" s="38">
        <v>9131.1626720000004</v>
      </c>
      <c r="V118" s="38">
        <v>11071.525444999988</v>
      </c>
      <c r="W118" s="38">
        <v>5779.1192529999935</v>
      </c>
      <c r="X118" s="38">
        <v>4267.6219680000022</v>
      </c>
      <c r="Y118" s="38">
        <v>1995.1682800000003</v>
      </c>
      <c r="Z118" s="79"/>
    </row>
    <row r="119" spans="1:26" ht="14.25" customHeight="1" x14ac:dyDescent="0.25">
      <c r="A119" s="110"/>
      <c r="B119" s="51" t="s">
        <v>99</v>
      </c>
      <c r="C119" s="38" t="s">
        <v>38</v>
      </c>
      <c r="D119" s="85" t="s">
        <v>2</v>
      </c>
      <c r="E119" s="38">
        <v>4283.8520586712038</v>
      </c>
      <c r="F119" s="38">
        <v>5865.6014104374799</v>
      </c>
      <c r="G119" s="38">
        <v>7186.6622195114296</v>
      </c>
      <c r="H119" s="38">
        <v>8889.1373621423209</v>
      </c>
      <c r="I119" s="38">
        <v>6047.980250144662</v>
      </c>
      <c r="J119" s="38">
        <v>8519.432789417393</v>
      </c>
      <c r="K119" s="38">
        <v>9539.3182147711304</v>
      </c>
      <c r="L119" s="38">
        <v>10518.894374599597</v>
      </c>
      <c r="M119" s="38">
        <v>8239.689005922115</v>
      </c>
      <c r="N119" s="38">
        <v>10022.925672287998</v>
      </c>
      <c r="O119" s="38">
        <v>11398.036118930193</v>
      </c>
      <c r="P119" s="38">
        <v>9737.5714404119572</v>
      </c>
      <c r="Q119" s="38">
        <v>4973.6258606415786</v>
      </c>
      <c r="R119" s="38">
        <v>2182.695901867683</v>
      </c>
      <c r="S119" s="38">
        <v>735.41908000000012</v>
      </c>
      <c r="T119" s="38">
        <v>2315.0832379999997</v>
      </c>
      <c r="U119" s="38">
        <v>3013.2828319999999</v>
      </c>
      <c r="V119" s="38">
        <v>4404.5552890000008</v>
      </c>
      <c r="W119" s="38">
        <v>2564.1847009999979</v>
      </c>
      <c r="X119" s="38">
        <v>901.64868899999897</v>
      </c>
      <c r="Y119" s="38">
        <v>348.88967099999991</v>
      </c>
      <c r="Z119" s="79"/>
    </row>
    <row r="120" spans="1:26" ht="14.25" customHeight="1" x14ac:dyDescent="0.25">
      <c r="A120" s="110"/>
      <c r="B120" s="51" t="s">
        <v>100</v>
      </c>
      <c r="C120" s="38" t="s">
        <v>40</v>
      </c>
      <c r="D120" s="85" t="s">
        <v>2</v>
      </c>
      <c r="E120" s="38">
        <v>1273.5254853331605</v>
      </c>
      <c r="F120" s="38">
        <v>1255.45558281644</v>
      </c>
      <c r="G120" s="38">
        <v>1177.4024751129</v>
      </c>
      <c r="H120" s="38">
        <v>1602.3234793996</v>
      </c>
      <c r="I120" s="38">
        <v>1582.3996765322379</v>
      </c>
      <c r="J120" s="38">
        <v>1749.6629066861683</v>
      </c>
      <c r="K120" s="38">
        <v>2002.2989907309018</v>
      </c>
      <c r="L120" s="38">
        <v>1933.450765854941</v>
      </c>
      <c r="M120" s="38">
        <v>1706.9462629174654</v>
      </c>
      <c r="N120" s="38">
        <v>2023.2509436221571</v>
      </c>
      <c r="O120" s="38">
        <v>1910.143454862442</v>
      </c>
      <c r="P120" s="38">
        <v>1451.5066376898967</v>
      </c>
      <c r="Q120" s="38">
        <v>1331.6517951109472</v>
      </c>
      <c r="R120" s="38">
        <v>1323.6316225629387</v>
      </c>
      <c r="S120" s="38">
        <v>439.01869699999997</v>
      </c>
      <c r="T120" s="38">
        <v>913.87171000000001</v>
      </c>
      <c r="U120" s="38">
        <v>1671.5508979999997</v>
      </c>
      <c r="V120" s="38">
        <v>1518.1567400000001</v>
      </c>
      <c r="W120" s="38">
        <v>1003.809292</v>
      </c>
      <c r="X120" s="38">
        <v>478.94792100000001</v>
      </c>
      <c r="Y120" s="38">
        <v>509.09699199999994</v>
      </c>
      <c r="Z120" s="79"/>
    </row>
    <row r="121" spans="1:26" ht="14.25" customHeight="1" x14ac:dyDescent="0.25">
      <c r="A121" s="110"/>
      <c r="B121" s="51"/>
      <c r="C121" s="38" t="s">
        <v>41</v>
      </c>
      <c r="D121" s="85" t="s">
        <v>2</v>
      </c>
      <c r="E121" s="38"/>
      <c r="F121" s="38"/>
      <c r="G121" s="38"/>
      <c r="H121" s="38"/>
      <c r="I121" s="38"/>
      <c r="J121" s="38">
        <v>11.497218974703705</v>
      </c>
      <c r="K121" s="38">
        <v>32.5</v>
      </c>
      <c r="L121" s="38">
        <v>170.22</v>
      </c>
      <c r="M121" s="38">
        <v>2.2200000000000002</v>
      </c>
      <c r="N121" s="38">
        <v>1.6259999999999999</v>
      </c>
      <c r="O121" s="38"/>
      <c r="P121" s="38">
        <v>0.9</v>
      </c>
      <c r="Q121" s="38"/>
      <c r="R121" s="38"/>
      <c r="S121" s="38"/>
      <c r="T121" s="38"/>
      <c r="U121" s="38"/>
      <c r="V121" s="38"/>
      <c r="W121" s="38"/>
      <c r="X121" s="38"/>
      <c r="Y121" s="38"/>
      <c r="Z121" s="79"/>
    </row>
    <row r="122" spans="1:26" ht="14.25" customHeight="1" x14ac:dyDescent="0.25">
      <c r="A122" s="110"/>
      <c r="B122" s="51"/>
      <c r="C122" s="14" t="s">
        <v>42</v>
      </c>
      <c r="D122" s="84" t="s">
        <v>2</v>
      </c>
      <c r="E122" s="14">
        <v>51350.650979999999</v>
      </c>
      <c r="F122" s="14">
        <v>53928.208461000002</v>
      </c>
      <c r="G122" s="14">
        <v>61012.333409999992</v>
      </c>
      <c r="H122" s="14">
        <v>66876.788454000009</v>
      </c>
      <c r="I122" s="14">
        <v>61362.897193000012</v>
      </c>
      <c r="J122" s="14">
        <v>66391.572679000004</v>
      </c>
      <c r="K122" s="14">
        <v>73474.972680999985</v>
      </c>
      <c r="L122" s="14">
        <v>82331.443788000004</v>
      </c>
      <c r="M122" s="14">
        <v>82711.587689000007</v>
      </c>
      <c r="N122" s="14">
        <v>83048.177488000001</v>
      </c>
      <c r="O122" s="14">
        <v>86346.962148999999</v>
      </c>
      <c r="P122" s="14">
        <v>90099.487675000011</v>
      </c>
      <c r="Q122" s="14">
        <v>88529.718550000005</v>
      </c>
      <c r="R122" s="14">
        <v>87727.157320430633</v>
      </c>
      <c r="S122" s="14">
        <v>80137.192546000006</v>
      </c>
      <c r="T122" s="14">
        <v>82335.805383000028</v>
      </c>
      <c r="U122" s="14">
        <v>90074.351488999993</v>
      </c>
      <c r="V122" s="14">
        <v>81750.893254999988</v>
      </c>
      <c r="W122" s="14">
        <v>73020.095509999999</v>
      </c>
      <c r="X122" s="14">
        <v>75388.194501999998</v>
      </c>
      <c r="Y122" s="14">
        <f>SUM(Y117:Y121)</f>
        <v>75224.756131000002</v>
      </c>
      <c r="Z122" s="79"/>
    </row>
    <row r="123" spans="1:26" ht="14.25" customHeight="1" x14ac:dyDescent="0.25">
      <c r="A123" s="110"/>
      <c r="B123" s="75"/>
      <c r="C123" s="12" t="s">
        <v>44</v>
      </c>
      <c r="D123" s="83" t="s">
        <v>19</v>
      </c>
      <c r="E123" s="13">
        <v>1855.4812767431474</v>
      </c>
      <c r="F123" s="13">
        <v>2008.5155653638765</v>
      </c>
      <c r="G123" s="13">
        <v>2038.5818485603679</v>
      </c>
      <c r="H123" s="13">
        <v>2081.200047229589</v>
      </c>
      <c r="I123" s="13">
        <v>2126.3614977345173</v>
      </c>
      <c r="J123" s="13">
        <v>1983.6270407533189</v>
      </c>
      <c r="K123" s="13">
        <v>2016.6281444559183</v>
      </c>
      <c r="L123" s="13">
        <v>1917.8840585894029</v>
      </c>
      <c r="M123" s="13">
        <v>1927.0207647027785</v>
      </c>
      <c r="N123" s="13">
        <v>1927.2921951948204</v>
      </c>
      <c r="O123" s="13">
        <v>1911.9735962366478</v>
      </c>
      <c r="P123" s="13">
        <v>1905.2793963971324</v>
      </c>
      <c r="Q123" s="13">
        <v>1887.5602564456947</v>
      </c>
      <c r="R123" s="13">
        <v>1884.4570351921279</v>
      </c>
      <c r="S123" s="13">
        <v>1869.3693950588663</v>
      </c>
      <c r="T123" s="13">
        <v>1816.7633420488974</v>
      </c>
      <c r="U123" s="13">
        <v>1802.2353719222704</v>
      </c>
      <c r="V123" s="13">
        <v>1844.5480640871262</v>
      </c>
      <c r="W123" s="13">
        <v>1840.5758703257836</v>
      </c>
      <c r="X123" s="13">
        <v>1838.1672976787481</v>
      </c>
      <c r="Y123" s="13">
        <f>+(Y101*8400)/Y117</f>
        <v>1787.6307595285257</v>
      </c>
      <c r="Z123" s="79"/>
    </row>
    <row r="124" spans="1:26" ht="14.25" customHeight="1" x14ac:dyDescent="0.25">
      <c r="A124" s="110"/>
      <c r="B124" s="75" t="s">
        <v>101</v>
      </c>
      <c r="C124" s="12" t="s">
        <v>46</v>
      </c>
      <c r="D124" s="83" t="s">
        <v>19</v>
      </c>
      <c r="E124" s="13">
        <v>2031.5596632925301</v>
      </c>
      <c r="F124" s="13">
        <v>2060.3687514990511</v>
      </c>
      <c r="G124" s="13">
        <v>2002.7505750860091</v>
      </c>
      <c r="H124" s="13">
        <v>2042.5248639584192</v>
      </c>
      <c r="I124" s="13">
        <v>2120.5246254950534</v>
      </c>
      <c r="J124" s="13">
        <v>1972.6361162473809</v>
      </c>
      <c r="K124" s="13">
        <v>1902.1987076574148</v>
      </c>
      <c r="L124" s="13">
        <v>1906.0093530660661</v>
      </c>
      <c r="M124" s="13">
        <v>1862.7449805905123</v>
      </c>
      <c r="N124" s="13">
        <v>1830.1922365395885</v>
      </c>
      <c r="O124" s="13">
        <v>1982.4727247573514</v>
      </c>
      <c r="P124" s="13">
        <v>2006.1513397890153</v>
      </c>
      <c r="Q124" s="13">
        <v>1980.5154645007294</v>
      </c>
      <c r="R124" s="13">
        <v>1969.6596531202601</v>
      </c>
      <c r="S124" s="13">
        <v>2112.7497634853671</v>
      </c>
      <c r="T124" s="13">
        <v>1940.3653742809247</v>
      </c>
      <c r="U124" s="13">
        <v>1903.0220428362989</v>
      </c>
      <c r="V124" s="13">
        <v>1887.5719542403135</v>
      </c>
      <c r="W124" s="13">
        <v>1930.5481059122228</v>
      </c>
      <c r="X124" s="13">
        <v>1899.5378256521328</v>
      </c>
      <c r="Y124" s="13">
        <f>+Y102*8580/Y118</f>
        <v>1889.0602891601704</v>
      </c>
      <c r="Z124" s="79"/>
    </row>
    <row r="125" spans="1:26" ht="14.25" customHeight="1" x14ac:dyDescent="0.25">
      <c r="A125" s="110"/>
      <c r="B125" s="75" t="s">
        <v>102</v>
      </c>
      <c r="C125" s="12" t="s">
        <v>45</v>
      </c>
      <c r="D125" s="83" t="s">
        <v>19</v>
      </c>
      <c r="E125" s="13">
        <v>2587.9161670766971</v>
      </c>
      <c r="F125" s="13">
        <v>2588.7057332229283</v>
      </c>
      <c r="G125" s="13">
        <v>2587.1266009304654</v>
      </c>
      <c r="H125" s="13">
        <v>2587.7696087774452</v>
      </c>
      <c r="I125" s="13">
        <v>2597.8978075571895</v>
      </c>
      <c r="J125" s="13">
        <v>2601.8061396685816</v>
      </c>
      <c r="K125" s="13">
        <v>2643.817850435878</v>
      </c>
      <c r="L125" s="13">
        <v>2664.2396860712624</v>
      </c>
      <c r="M125" s="13">
        <v>2655.6682604249781</v>
      </c>
      <c r="N125" s="13">
        <v>2656.8290514441355</v>
      </c>
      <c r="O125" s="13">
        <v>2655.2295862386322</v>
      </c>
      <c r="P125" s="13">
        <v>2667.5938898067861</v>
      </c>
      <c r="Q125" s="13">
        <v>2533.5675085488874</v>
      </c>
      <c r="R125" s="13">
        <v>2536.9609171216948</v>
      </c>
      <c r="S125" s="13">
        <v>2473.1557837743353</v>
      </c>
      <c r="T125" s="13">
        <v>2454.3937958398355</v>
      </c>
      <c r="U125" s="13">
        <v>2432.7761668938474</v>
      </c>
      <c r="V125" s="13">
        <v>2475.4753542611265</v>
      </c>
      <c r="W125" s="13">
        <v>2574.5490384625796</v>
      </c>
      <c r="X125" s="13">
        <v>2536.8733602184639</v>
      </c>
      <c r="Y125" s="13">
        <f>+Y103*9800/Y119</f>
        <v>2566.3637757851548</v>
      </c>
      <c r="Z125" s="79"/>
    </row>
    <row r="126" spans="1:26" ht="14.25" customHeight="1" x14ac:dyDescent="0.25">
      <c r="A126" s="110"/>
      <c r="B126" s="75" t="s">
        <v>103</v>
      </c>
      <c r="C126" s="12" t="s">
        <v>47</v>
      </c>
      <c r="D126" s="83" t="s">
        <v>19</v>
      </c>
      <c r="E126" s="13">
        <v>2621.854245128437</v>
      </c>
      <c r="F126" s="13">
        <v>2540.6963365794923</v>
      </c>
      <c r="G126" s="13">
        <v>2703.0121536773818</v>
      </c>
      <c r="H126" s="13">
        <v>2707.6271238474633</v>
      </c>
      <c r="I126" s="13">
        <v>2715.5163412424131</v>
      </c>
      <c r="J126" s="13">
        <v>2697.1376234624877</v>
      </c>
      <c r="K126" s="13">
        <v>2694.2405399858758</v>
      </c>
      <c r="L126" s="13">
        <v>2699.5800993629232</v>
      </c>
      <c r="M126" s="13">
        <v>2693.0566168750388</v>
      </c>
      <c r="N126" s="13">
        <v>2680.6528657736612</v>
      </c>
      <c r="O126" s="13">
        <v>2683.120549900837</v>
      </c>
      <c r="P126" s="13">
        <v>2698.1716206500132</v>
      </c>
      <c r="Q126" s="13">
        <v>2650.4926584850473</v>
      </c>
      <c r="R126" s="13">
        <v>2681.6442683101741</v>
      </c>
      <c r="S126" s="13">
        <v>2728.6934369448963</v>
      </c>
      <c r="T126" s="13">
        <v>2806.6666024709307</v>
      </c>
      <c r="U126" s="13">
        <v>2796.708212231777</v>
      </c>
      <c r="V126" s="13">
        <v>2763.8361181336245</v>
      </c>
      <c r="W126" s="13">
        <v>2800.7470954951073</v>
      </c>
      <c r="X126" s="13">
        <v>2849.7286693515052</v>
      </c>
      <c r="Y126" s="13">
        <f>+Y104*5400/Y120</f>
        <v>2821.008764475278</v>
      </c>
      <c r="Z126" s="79"/>
    </row>
    <row r="127" spans="1:26" ht="14.25" customHeight="1" x14ac:dyDescent="0.25">
      <c r="A127" s="110"/>
      <c r="B127" s="75"/>
      <c r="C127" s="12" t="s">
        <v>48</v>
      </c>
      <c r="D127" s="83" t="s">
        <v>19</v>
      </c>
      <c r="E127" s="13" t="s">
        <v>143</v>
      </c>
      <c r="F127" s="13" t="s">
        <v>143</v>
      </c>
      <c r="G127" s="13" t="s">
        <v>143</v>
      </c>
      <c r="H127" s="13" t="s">
        <v>143</v>
      </c>
      <c r="I127" s="13" t="s">
        <v>143</v>
      </c>
      <c r="J127" s="13"/>
      <c r="K127" s="13">
        <v>1923.383907692308</v>
      </c>
      <c r="L127" s="13">
        <v>2075.6777934437782</v>
      </c>
      <c r="M127" s="13">
        <v>4319.5743243243242</v>
      </c>
      <c r="N127" s="13">
        <v>2095.5387453874541</v>
      </c>
      <c r="O127" s="13" t="s">
        <v>143</v>
      </c>
      <c r="P127" s="13">
        <v>1953.9199999999996</v>
      </c>
      <c r="Q127" s="13" t="s">
        <v>143</v>
      </c>
      <c r="R127" s="13" t="s">
        <v>143</v>
      </c>
      <c r="S127" s="13" t="s">
        <v>143</v>
      </c>
      <c r="T127" s="13" t="s">
        <v>143</v>
      </c>
      <c r="U127" s="13"/>
      <c r="V127" s="13"/>
      <c r="W127" s="13"/>
      <c r="X127" s="13"/>
      <c r="Y127" s="13"/>
      <c r="Z127" s="79"/>
    </row>
    <row r="128" spans="1:26" ht="14.25" customHeight="1" x14ac:dyDescent="0.25">
      <c r="A128" s="111"/>
      <c r="B128" s="73"/>
      <c r="C128" s="14" t="s">
        <v>49</v>
      </c>
      <c r="D128" s="84" t="s">
        <v>19</v>
      </c>
      <c r="E128" s="14">
        <v>1936.5519895498705</v>
      </c>
      <c r="F128" s="14">
        <v>2084.5859365289102</v>
      </c>
      <c r="G128" s="14">
        <v>2114.0895174951484</v>
      </c>
      <c r="H128" s="14">
        <v>2161.4940600329323</v>
      </c>
      <c r="I128" s="14">
        <v>2187.6534792218636</v>
      </c>
      <c r="J128" s="14">
        <v>2080.2117200047051</v>
      </c>
      <c r="K128" s="14">
        <v>2102.2961929348749</v>
      </c>
      <c r="L128" s="14">
        <v>2030.7368939691637</v>
      </c>
      <c r="M128" s="14">
        <v>2006.1992433196658</v>
      </c>
      <c r="N128" s="14">
        <v>2023.8339437299032</v>
      </c>
      <c r="O128" s="14">
        <v>2035.0587471088593</v>
      </c>
      <c r="P128" s="14">
        <v>2011.8412123539292</v>
      </c>
      <c r="Q128" s="14">
        <v>1941.6823185885976</v>
      </c>
      <c r="R128" s="14">
        <v>1916.4173157568664</v>
      </c>
      <c r="S128" s="14">
        <v>1884.5936183378126</v>
      </c>
      <c r="T128" s="14">
        <v>1851.3376044528632</v>
      </c>
      <c r="U128" s="14">
        <v>1852.001028125215</v>
      </c>
      <c r="V128" s="14">
        <v>1901.4394006530658</v>
      </c>
      <c r="W128" s="14">
        <v>1886.6704669134988</v>
      </c>
      <c r="X128" s="14">
        <v>1856.4245174420139</v>
      </c>
      <c r="Y128" s="14">
        <f>+(Y101*8400+Y103*9800+Y102*8580+Y104*5400+Y105*9000)/Y122</f>
        <v>1800.9262565347326</v>
      </c>
      <c r="Z128" s="79"/>
    </row>
    <row r="129" spans="1:26" ht="14.25" customHeight="1" x14ac:dyDescent="0.25">
      <c r="A129" s="94" t="s">
        <v>146</v>
      </c>
      <c r="B129" s="51"/>
      <c r="C129" s="38" t="s">
        <v>81</v>
      </c>
      <c r="D129" s="85" t="s">
        <v>82</v>
      </c>
      <c r="E129" s="55">
        <v>19.585872073980962</v>
      </c>
      <c r="F129" s="55">
        <v>21.525330335279758</v>
      </c>
      <c r="G129" s="55">
        <v>23.340450836572323</v>
      </c>
      <c r="H129" s="55">
        <v>25.507977400202169</v>
      </c>
      <c r="I129" s="55">
        <v>24.54991993079145</v>
      </c>
      <c r="J129" s="55">
        <v>22.477286659009778</v>
      </c>
      <c r="K129" s="55">
        <v>24.691752188188964</v>
      </c>
      <c r="L129" s="55">
        <v>27.346463581468438</v>
      </c>
      <c r="M129" s="55">
        <v>27.181489768452284</v>
      </c>
      <c r="N129" s="55">
        <v>27.966524225464429</v>
      </c>
      <c r="O129" s="55">
        <v>28.089946284683371</v>
      </c>
      <c r="P129" s="55">
        <v>30.369572454567539</v>
      </c>
      <c r="Q129" s="55">
        <v>33.34716749665575</v>
      </c>
      <c r="R129" s="55">
        <v>35.133028937647751</v>
      </c>
      <c r="S129" s="55">
        <v>33.524461650016974</v>
      </c>
      <c r="T129" s="55">
        <v>31.744169986216722</v>
      </c>
      <c r="U129" s="55">
        <v>31.875153570467081</v>
      </c>
      <c r="V129" s="55">
        <v>27.70305905600128</v>
      </c>
      <c r="W129" s="55">
        <v>27.180798558280905</v>
      </c>
      <c r="X129" s="55">
        <v>29.731728783416369</v>
      </c>
      <c r="Y129" s="55">
        <f>Y101*1.95/1000</f>
        <v>30.03318045</v>
      </c>
      <c r="Z129" s="79"/>
    </row>
    <row r="130" spans="1:26" ht="14.25" customHeight="1" x14ac:dyDescent="0.25">
      <c r="A130" s="95"/>
      <c r="B130" s="51" t="s">
        <v>104</v>
      </c>
      <c r="C130" s="38" t="s">
        <v>84</v>
      </c>
      <c r="D130" s="85" t="s">
        <v>82</v>
      </c>
      <c r="E130" s="55">
        <v>0.17915685676376131</v>
      </c>
      <c r="F130" s="55">
        <v>0.38778030181103595</v>
      </c>
      <c r="G130" s="55">
        <v>2.0664507044718703</v>
      </c>
      <c r="H130" s="55">
        <v>2.2727832537671659</v>
      </c>
      <c r="I130" s="55">
        <v>2.6343802330079638</v>
      </c>
      <c r="J130" s="55">
        <v>4.4979989919009142</v>
      </c>
      <c r="K130" s="55">
        <v>5.4464559876829535</v>
      </c>
      <c r="L130" s="55">
        <v>4.9311635792475075</v>
      </c>
      <c r="M130" s="55">
        <v>6.9942943095148751</v>
      </c>
      <c r="N130" s="55">
        <v>4.8526244433737178</v>
      </c>
      <c r="O130" s="55">
        <v>6.0408747060214267</v>
      </c>
      <c r="P130" s="55">
        <v>6.4216188531608678</v>
      </c>
      <c r="Q130" s="55">
        <v>3.7671359310370507</v>
      </c>
      <c r="R130" s="55">
        <v>2.357398893727217</v>
      </c>
      <c r="S130" s="55">
        <v>1.0880874870006365</v>
      </c>
      <c r="T130" s="55">
        <v>2.2991121615123045</v>
      </c>
      <c r="U130" s="55">
        <v>5.4624945936965039</v>
      </c>
      <c r="V130" s="55">
        <v>6.5695063139637737</v>
      </c>
      <c r="W130" s="55">
        <v>3.5072232040490299</v>
      </c>
      <c r="X130" s="55">
        <v>2.5483261434433158</v>
      </c>
      <c r="Y130" s="55">
        <f>Y102*2.7/1000</f>
        <v>1.1860468011000003</v>
      </c>
      <c r="Z130" s="79"/>
    </row>
    <row r="131" spans="1:26" ht="14.25" customHeight="1" x14ac:dyDescent="0.25">
      <c r="A131" s="95"/>
      <c r="B131" s="51" t="s">
        <v>105</v>
      </c>
      <c r="C131" s="38" t="s">
        <v>83</v>
      </c>
      <c r="D131" s="85" t="s">
        <v>82</v>
      </c>
      <c r="E131" s="55">
        <v>3.5886427756666701</v>
      </c>
      <c r="F131" s="55">
        <v>4.9151954824074719</v>
      </c>
      <c r="G131" s="55">
        <v>6.0185306431506724</v>
      </c>
      <c r="H131" s="55">
        <v>7.4461329638327731</v>
      </c>
      <c r="I131" s="55">
        <v>5.0860191293856207</v>
      </c>
      <c r="J131" s="55">
        <v>7.1751531758306895</v>
      </c>
      <c r="K131" s="55">
        <v>8.1638389450151809</v>
      </c>
      <c r="L131" s="55">
        <v>9.0717056238388292</v>
      </c>
      <c r="M131" s="55">
        <v>7.0832114214657826</v>
      </c>
      <c r="N131" s="55">
        <v>8.6199288834666561</v>
      </c>
      <c r="O131" s="55">
        <v>9.7966517271127636</v>
      </c>
      <c r="P131" s="55">
        <v>8.4084497380248369</v>
      </c>
      <c r="Q131" s="55">
        <v>4.0789760462900881</v>
      </c>
      <c r="R131" s="55">
        <v>1.792887145706656</v>
      </c>
      <c r="S131" s="55">
        <v>0.58875136652280324</v>
      </c>
      <c r="T131" s="55">
        <v>1.839316287416604</v>
      </c>
      <c r="U131" s="55">
        <v>2.3729446670341985</v>
      </c>
      <c r="V131" s="55">
        <v>3.5294435029648179</v>
      </c>
      <c r="W131" s="55">
        <v>2.1369582367510978</v>
      </c>
      <c r="X131" s="55">
        <v>0.74042607592333121</v>
      </c>
      <c r="Y131" s="55">
        <f>Y103*3.2/1000</f>
        <v>0.29236826560000007</v>
      </c>
      <c r="Z131" s="79"/>
    </row>
    <row r="132" spans="1:26" ht="14.25" customHeight="1" x14ac:dyDescent="0.25">
      <c r="A132" s="95"/>
      <c r="B132" s="51"/>
      <c r="C132" s="38" t="s">
        <v>85</v>
      </c>
      <c r="D132" s="85" t="s">
        <v>82</v>
      </c>
      <c r="E132" s="55">
        <v>1.4439669365140801</v>
      </c>
      <c r="F132" s="55">
        <v>1.3794157415121602</v>
      </c>
      <c r="G132" s="55">
        <v>1.3763028429180799</v>
      </c>
      <c r="H132" s="55">
        <v>1.8762042556548018</v>
      </c>
      <c r="I132" s="55">
        <v>1.8582736561693922</v>
      </c>
      <c r="J132" s="55">
        <v>2.0407911208476177</v>
      </c>
      <c r="K132" s="55">
        <v>2.3329549856754417</v>
      </c>
      <c r="L132" s="55">
        <v>2.2572018604470534</v>
      </c>
      <c r="M132" s="55">
        <v>1.9879543026997637</v>
      </c>
      <c r="N132" s="55">
        <v>2.3454781627078791</v>
      </c>
      <c r="O132" s="55">
        <v>2.2163953701871608</v>
      </c>
      <c r="P132" s="55">
        <v>1.6936733749207451</v>
      </c>
      <c r="Q132" s="55">
        <v>1.526364822854835</v>
      </c>
      <c r="R132" s="55">
        <v>1.5350034807536177</v>
      </c>
      <c r="S132" s="55">
        <v>0.51805852755433579</v>
      </c>
      <c r="T132" s="55">
        <v>1.1092185511967665</v>
      </c>
      <c r="U132" s="55">
        <v>2.0216586435919002</v>
      </c>
      <c r="V132" s="55">
        <v>1.814554279807306</v>
      </c>
      <c r="W132" s="55">
        <v>1.2158112842301099</v>
      </c>
      <c r="X132" s="55">
        <v>0.59024574921207107</v>
      </c>
      <c r="Y132" s="55">
        <f>Y104*2.34/1000</f>
        <v>0.62233906644000014</v>
      </c>
      <c r="Z132" s="79"/>
    </row>
    <row r="133" spans="1:26" ht="14.25" customHeight="1" x14ac:dyDescent="0.25">
      <c r="A133" s="95"/>
      <c r="B133" s="51"/>
      <c r="C133" s="14" t="s">
        <v>86</v>
      </c>
      <c r="D133" s="84" t="s">
        <v>82</v>
      </c>
      <c r="E133" s="18">
        <v>24.797638642925474</v>
      </c>
      <c r="F133" s="18">
        <v>28.20772186101043</v>
      </c>
      <c r="G133" s="18">
        <v>32.801735027112947</v>
      </c>
      <c r="H133" s="18">
        <v>37.103097873456903</v>
      </c>
      <c r="I133" s="18">
        <v>34.128592949354427</v>
      </c>
      <c r="J133" s="18">
        <v>36.191229947588994</v>
      </c>
      <c r="K133" s="18">
        <v>40.635002106562538</v>
      </c>
      <c r="L133" s="18">
        <v>43.60653464500183</v>
      </c>
      <c r="M133" s="18">
        <v>43.246949802132704</v>
      </c>
      <c r="N133" s="18">
        <v>43.784555715012679</v>
      </c>
      <c r="O133" s="18">
        <v>46.143868088004723</v>
      </c>
      <c r="P133" s="18">
        <v>46.893314420673981</v>
      </c>
      <c r="Q133" s="18">
        <v>42.719644296837728</v>
      </c>
      <c r="R133" s="18">
        <v>40.81831845783524</v>
      </c>
      <c r="S133" s="18">
        <v>35.719359031094747</v>
      </c>
      <c r="T133" s="18">
        <v>36.991816986342393</v>
      </c>
      <c r="U133" s="18">
        <v>41.732251474789678</v>
      </c>
      <c r="V133" s="18">
        <v>39.616563152737172</v>
      </c>
      <c r="W133" s="18">
        <v>34.040791283311137</v>
      </c>
      <c r="X133" s="18">
        <v>33.610726751995088</v>
      </c>
      <c r="Y133" s="18">
        <f>+SUM(Y129:Y132)</f>
        <v>32.133934583140004</v>
      </c>
      <c r="Z133" s="79"/>
    </row>
    <row r="134" spans="1:26" ht="14.25" customHeight="1" x14ac:dyDescent="0.25">
      <c r="A134" s="95"/>
      <c r="B134" s="73"/>
      <c r="C134" s="12" t="s">
        <v>87</v>
      </c>
      <c r="D134" s="83" t="s">
        <v>88</v>
      </c>
      <c r="E134" s="19">
        <v>0.430338220593737</v>
      </c>
      <c r="F134" s="19">
        <v>0.46583117020219017</v>
      </c>
      <c r="G134" s="19">
        <v>0.47280438570849603</v>
      </c>
      <c r="H134" s="19">
        <v>0.48268874294243963</v>
      </c>
      <c r="I134" s="19">
        <v>0.49316295170612806</v>
      </c>
      <c r="J134" s="19">
        <v>0.46005882233301071</v>
      </c>
      <c r="K134" s="19">
        <v>0.46771270514121321</v>
      </c>
      <c r="L134" s="19">
        <v>0.4448111783305852</v>
      </c>
      <c r="M134" s="19">
        <v>0.44693023708919449</v>
      </c>
      <c r="N134" s="19">
        <v>0.44699318944361821</v>
      </c>
      <c r="O134" s="19">
        <v>0.44344037611142439</v>
      </c>
      <c r="P134" s="19">
        <v>0.44188780315725673</v>
      </c>
      <c r="Q134" s="19">
        <v>0.4377782369478162</v>
      </c>
      <c r="R134" s="19">
        <v>0.43690399343495223</v>
      </c>
      <c r="S134" s="19">
        <v>0.43355577113402366</v>
      </c>
      <c r="T134" s="19">
        <v>0.42135894845598987</v>
      </c>
      <c r="U134" s="19">
        <v>0.41798899981650589</v>
      </c>
      <c r="V134" s="19">
        <v>0.4278024972396664</v>
      </c>
      <c r="W134" s="19">
        <v>0.42688119186226064</v>
      </c>
      <c r="X134" s="19">
        <v>0.42632261324289655</v>
      </c>
      <c r="Y134" s="19">
        <f>+Y129/Y117*1000</f>
        <v>0.41498571203340773</v>
      </c>
      <c r="Z134" s="79"/>
    </row>
    <row r="135" spans="1:26" ht="14.25" customHeight="1" x14ac:dyDescent="0.25">
      <c r="A135" s="95"/>
      <c r="B135" s="73" t="s">
        <v>104</v>
      </c>
      <c r="C135" s="12" t="s">
        <v>90</v>
      </c>
      <c r="D135" s="83" t="s">
        <v>88</v>
      </c>
      <c r="E135" s="19">
        <v>0.63863203951111924</v>
      </c>
      <c r="F135" s="19">
        <v>0.64768833605520815</v>
      </c>
      <c r="G135" s="19">
        <v>0.62957574296703056</v>
      </c>
      <c r="H135" s="19">
        <v>0.64207901111202026</v>
      </c>
      <c r="I135" s="19">
        <v>0.66659866844307303</v>
      </c>
      <c r="J135" s="19">
        <v>0.62010909593008479</v>
      </c>
      <c r="K135" s="19">
        <v>0.59796670616005776</v>
      </c>
      <c r="L135" s="19">
        <v>0.59916460366371105</v>
      </c>
      <c r="M135" s="19">
        <v>0.58556420839525403</v>
      </c>
      <c r="N135" s="19">
        <v>0.57533107288830465</v>
      </c>
      <c r="O135" s="19">
        <v>0.62320128833186439</v>
      </c>
      <c r="P135" s="19">
        <v>0.63064479219921432</v>
      </c>
      <c r="Q135" s="19">
        <v>0.62258601272262382</v>
      </c>
      <c r="R135" s="19">
        <v>0.61919229532850528</v>
      </c>
      <c r="S135" s="19">
        <v>0.66415459748031525</v>
      </c>
      <c r="T135" s="19">
        <v>0.60996460934130614</v>
      </c>
      <c r="U135" s="19">
        <v>0.59822552613664615</v>
      </c>
      <c r="V135" s="19">
        <v>0.59336957193469919</v>
      </c>
      <c r="W135" s="19">
        <v>0.6068784966201205</v>
      </c>
      <c r="X135" s="19">
        <v>0.59713024315449736</v>
      </c>
      <c r="Y135" s="19">
        <f>+Y130/Y118*1000</f>
        <v>0.59445953155389986</v>
      </c>
      <c r="Z135" s="79"/>
    </row>
    <row r="136" spans="1:26" ht="14.25" customHeight="1" x14ac:dyDescent="0.25">
      <c r="A136" s="95"/>
      <c r="B136" s="73" t="s">
        <v>106</v>
      </c>
      <c r="C136" s="12" t="s">
        <v>89</v>
      </c>
      <c r="D136" s="83" t="s">
        <v>88</v>
      </c>
      <c r="E136" s="19">
        <v>0.83771398417055076</v>
      </c>
      <c r="F136" s="19">
        <v>0.83796956841649373</v>
      </c>
      <c r="G136" s="19">
        <v>0.8374583999246078</v>
      </c>
      <c r="H136" s="19">
        <v>0.8376665429364254</v>
      </c>
      <c r="I136" s="19">
        <v>0.84094506248825274</v>
      </c>
      <c r="J136" s="19">
        <v>0.84221019793048535</v>
      </c>
      <c r="K136" s="19">
        <v>0.85580947833084209</v>
      </c>
      <c r="L136" s="19">
        <v>0.86242007009259891</v>
      </c>
      <c r="M136" s="19">
        <v>0.8596454813251887</v>
      </c>
      <c r="N136" s="19">
        <v>0.86002123185444401</v>
      </c>
      <c r="O136" s="19">
        <v>0.85950348155523015</v>
      </c>
      <c r="P136" s="19">
        <v>0.86350583299742234</v>
      </c>
      <c r="Q136" s="19">
        <v>0.8201212074612938</v>
      </c>
      <c r="R136" s="19">
        <v>0.82140949830552368</v>
      </c>
      <c r="S136" s="19">
        <v>0.80056580327342497</v>
      </c>
      <c r="T136" s="19">
        <v>0.79449250775345304</v>
      </c>
      <c r="U136" s="19">
        <v>0.78749483514602869</v>
      </c>
      <c r="V136" s="19">
        <v>0.80131665318841616</v>
      </c>
      <c r="W136" s="19">
        <v>0.83338701612162047</v>
      </c>
      <c r="X136" s="19">
        <v>0.82119131869921902</v>
      </c>
      <c r="Y136" s="19">
        <f>+Y131/Y119*1000</f>
        <v>0.83799633495025461</v>
      </c>
      <c r="Z136" s="79"/>
    </row>
    <row r="137" spans="1:26" ht="14.25" customHeight="1" x14ac:dyDescent="0.25">
      <c r="A137" s="95"/>
      <c r="B137" s="73"/>
      <c r="C137" s="12" t="s">
        <v>91</v>
      </c>
      <c r="D137" s="83" t="s">
        <v>88</v>
      </c>
      <c r="E137" s="19">
        <v>1.1338343465787268</v>
      </c>
      <c r="F137" s="19">
        <v>1.0987371918149687</v>
      </c>
      <c r="G137" s="19">
        <v>1.1689315013424848</v>
      </c>
      <c r="H137" s="19">
        <v>1.1709272689169021</v>
      </c>
      <c r="I137" s="19">
        <v>1.1743390015357691</v>
      </c>
      <c r="J137" s="19">
        <v>1.1663910305516172</v>
      </c>
      <c r="K137" s="19">
        <v>1.1651381719090017</v>
      </c>
      <c r="L137" s="19">
        <v>1.1674472918108958</v>
      </c>
      <c r="M137" s="19">
        <v>1.1646261782734781</v>
      </c>
      <c r="N137" s="19">
        <v>1.1592621123452187</v>
      </c>
      <c r="O137" s="19">
        <v>1.16032927503174</v>
      </c>
      <c r="P137" s="19">
        <v>1.1668381879508742</v>
      </c>
      <c r="Q137" s="19">
        <v>1.1462191756574511</v>
      </c>
      <c r="R137" s="19">
        <v>1.1596908494686771</v>
      </c>
      <c r="S137" s="19">
        <v>1.180037504312341</v>
      </c>
      <c r="T137" s="19">
        <v>1.2137574005839031</v>
      </c>
      <c r="U137" s="19">
        <v>1.2094508435314786</v>
      </c>
      <c r="V137" s="19">
        <v>1.1952351374518193</v>
      </c>
      <c r="W137" s="19">
        <v>1.2111974793615576</v>
      </c>
      <c r="X137" s="19">
        <v>1.2323798127773291</v>
      </c>
      <c r="Y137" s="19">
        <f>+Y132/Y120*1000</f>
        <v>1.2224371312726203</v>
      </c>
      <c r="Z137" s="79"/>
    </row>
    <row r="138" spans="1:26" ht="14.25" customHeight="1" x14ac:dyDescent="0.25">
      <c r="A138" s="95"/>
      <c r="B138" s="73"/>
      <c r="C138" s="38" t="s">
        <v>92</v>
      </c>
      <c r="D138" s="85" t="s">
        <v>88</v>
      </c>
      <c r="E138" s="55">
        <v>0.48290797038938482</v>
      </c>
      <c r="F138" s="55">
        <v>0.52306061458373476</v>
      </c>
      <c r="G138" s="55">
        <v>0.53762466035656831</v>
      </c>
      <c r="H138" s="55">
        <v>0.55479784139122645</v>
      </c>
      <c r="I138" s="55">
        <v>0.55617636243628432</v>
      </c>
      <c r="J138" s="55">
        <v>0.54511782877281445</v>
      </c>
      <c r="K138" s="55">
        <v>0.55304548778784934</v>
      </c>
      <c r="L138" s="55">
        <v>0.5296461793781585</v>
      </c>
      <c r="M138" s="55">
        <v>0.52286446204785175</v>
      </c>
      <c r="N138" s="55">
        <v>0.52721874265500057</v>
      </c>
      <c r="O138" s="55">
        <v>0.53440059661136696</v>
      </c>
      <c r="P138" s="55">
        <v>0.5204614990689399</v>
      </c>
      <c r="Q138" s="55">
        <v>0.48254580491759314</v>
      </c>
      <c r="R138" s="55">
        <v>0.46528714373752006</v>
      </c>
      <c r="S138" s="55">
        <v>0.4457276065740795</v>
      </c>
      <c r="T138" s="55">
        <v>0.44927983414103018</v>
      </c>
      <c r="U138" s="55">
        <v>0.4633089307324747</v>
      </c>
      <c r="V138" s="55">
        <v>0.48460098202430552</v>
      </c>
      <c r="W138" s="55">
        <v>0.46618387781551585</v>
      </c>
      <c r="X138" s="55">
        <v>0.44583541195038728</v>
      </c>
      <c r="Y138" s="55">
        <f>+Y133/Y122*1000</f>
        <v>0.42717233309710473</v>
      </c>
      <c r="Z138" s="79"/>
    </row>
    <row r="139" spans="1:26" ht="14.25" customHeight="1" x14ac:dyDescent="0.25">
      <c r="A139" s="96"/>
      <c r="B139" s="73"/>
      <c r="C139" s="14" t="s">
        <v>93</v>
      </c>
      <c r="D139" s="84" t="s">
        <v>88</v>
      </c>
      <c r="E139" s="20">
        <v>0.25262477247016962</v>
      </c>
      <c r="F139" s="20">
        <v>0.26960199591624939</v>
      </c>
      <c r="G139" s="20">
        <v>0.30237046993062927</v>
      </c>
      <c r="H139" s="20">
        <v>0.33015060252935813</v>
      </c>
      <c r="I139" s="20">
        <v>0.30777133683072211</v>
      </c>
      <c r="J139" s="20">
        <v>0.31270715253834425</v>
      </c>
      <c r="K139" s="20">
        <v>0.33517868366577191</v>
      </c>
      <c r="L139" s="20">
        <v>0.34683482201595606</v>
      </c>
      <c r="M139" s="20">
        <v>0.33312896457168278</v>
      </c>
      <c r="N139" s="20">
        <v>0.33371490864067888</v>
      </c>
      <c r="O139" s="20">
        <v>0.337135276452669</v>
      </c>
      <c r="P139" s="20">
        <v>0.33963540575598589</v>
      </c>
      <c r="Q139" s="20">
        <v>0.31137088803802093</v>
      </c>
      <c r="R139" s="20">
        <v>0.29615968562196598</v>
      </c>
      <c r="S139" s="20">
        <v>0.26657647256471739</v>
      </c>
      <c r="T139" s="20">
        <v>0.27324327738154913</v>
      </c>
      <c r="U139" s="20">
        <v>0.29261977680615664</v>
      </c>
      <c r="V139" s="20">
        <v>0.27311108583063648</v>
      </c>
      <c r="W139" s="20">
        <v>0.23056395402134833</v>
      </c>
      <c r="X139" s="20">
        <v>0.22896875332658143</v>
      </c>
      <c r="Y139" s="20">
        <f>+Y133/Y80*1000</f>
        <v>0.21846050507903506</v>
      </c>
      <c r="Z139" s="79"/>
    </row>
    <row r="140" spans="1:26" ht="14.25" customHeight="1" x14ac:dyDescent="0.25">
      <c r="A140" s="97" t="s">
        <v>75</v>
      </c>
      <c r="B140" s="76"/>
      <c r="C140" s="12" t="s">
        <v>4</v>
      </c>
      <c r="D140" s="83" t="s">
        <v>2</v>
      </c>
      <c r="E140" s="13">
        <v>35.470502999999994</v>
      </c>
      <c r="F140" s="13">
        <v>27.419068999999993</v>
      </c>
      <c r="G140" s="13">
        <v>1971.9362229999999</v>
      </c>
      <c r="H140" s="13">
        <v>1277.524893</v>
      </c>
      <c r="I140" s="13">
        <v>833.855322</v>
      </c>
      <c r="J140" s="13">
        <v>1202.6414719999998</v>
      </c>
      <c r="K140" s="13">
        <v>2257.5028010000001</v>
      </c>
      <c r="L140" s="13">
        <v>1.06778</v>
      </c>
      <c r="M140" s="13">
        <v>0.69599599999999995</v>
      </c>
      <c r="N140" s="13">
        <v>2.9736549999999999</v>
      </c>
      <c r="O140" s="13">
        <v>228.52144000000001</v>
      </c>
      <c r="P140" s="13">
        <v>493.66057399999994</v>
      </c>
      <c r="Q140" s="13">
        <v>153.60831399999995</v>
      </c>
      <c r="R140" s="13">
        <v>0.20194200000000001</v>
      </c>
      <c r="S140" s="13">
        <v>212.01741099999995</v>
      </c>
      <c r="T140" s="13">
        <v>349.16179299999999</v>
      </c>
      <c r="U140" s="13">
        <v>43.675691999999998</v>
      </c>
      <c r="V140" s="13">
        <v>4857.8454809999994</v>
      </c>
      <c r="W140" s="13">
        <v>5776.1805300000005</v>
      </c>
      <c r="X140" s="13">
        <v>2497.031301</v>
      </c>
      <c r="Y140" s="13">
        <v>2994.2929239999994</v>
      </c>
      <c r="Z140" s="79"/>
    </row>
    <row r="141" spans="1:26" ht="14.25" customHeight="1" x14ac:dyDescent="0.25">
      <c r="A141" s="98"/>
      <c r="B141" s="76"/>
      <c r="C141" s="12" t="s">
        <v>5</v>
      </c>
      <c r="D141" s="83" t="s">
        <v>2</v>
      </c>
      <c r="E141" s="13">
        <v>370.50701999999995</v>
      </c>
      <c r="F141" s="13">
        <v>524.64959400000009</v>
      </c>
      <c r="G141" s="13">
        <v>515.80066499999998</v>
      </c>
      <c r="H141" s="13">
        <v>480.993199</v>
      </c>
      <c r="I141" s="13">
        <v>520.67740500000002</v>
      </c>
      <c r="J141" s="13">
        <v>437.42641900000001</v>
      </c>
      <c r="K141" s="13">
        <v>135.74855300000002</v>
      </c>
      <c r="L141" s="13">
        <v>150.99761400000003</v>
      </c>
      <c r="M141" s="13">
        <v>135.20423700000003</v>
      </c>
      <c r="N141" s="13">
        <v>115.93737000000002</v>
      </c>
      <c r="O141" s="13">
        <v>113.16306599999999</v>
      </c>
      <c r="P141" s="13">
        <v>120.145664</v>
      </c>
      <c r="Q141" s="13">
        <v>70.44560899999999</v>
      </c>
      <c r="R141" s="13">
        <v>26.126804</v>
      </c>
      <c r="S141" s="13">
        <v>126.88447799999997</v>
      </c>
      <c r="T141" s="13">
        <v>145.38158800000002</v>
      </c>
      <c r="U141" s="13">
        <v>147.668116</v>
      </c>
      <c r="V141" s="13">
        <v>106.73479799999998</v>
      </c>
      <c r="W141" s="13">
        <v>113.017392</v>
      </c>
      <c r="X141" s="13">
        <v>99.839585999999997</v>
      </c>
      <c r="Y141" s="13">
        <v>120.73486200000001</v>
      </c>
      <c r="Z141" s="79"/>
    </row>
    <row r="142" spans="1:26" ht="14.25" customHeight="1" x14ac:dyDescent="0.25">
      <c r="A142" s="98"/>
      <c r="B142" s="76"/>
      <c r="C142" s="12" t="s">
        <v>6</v>
      </c>
      <c r="D142" s="83" t="s">
        <v>2</v>
      </c>
      <c r="E142" s="13">
        <v>815.70248700000002</v>
      </c>
      <c r="F142" s="13">
        <v>6.8142500000000013</v>
      </c>
      <c r="G142" s="13">
        <v>971.18341500000008</v>
      </c>
      <c r="H142" s="13">
        <v>15.651052</v>
      </c>
      <c r="I142" s="13">
        <v>241.03006400000001</v>
      </c>
      <c r="J142" s="13">
        <v>710.96754999999996</v>
      </c>
      <c r="K142" s="13">
        <v>18.994</v>
      </c>
      <c r="L142" s="13">
        <v>193.23969</v>
      </c>
      <c r="M142" s="13">
        <v>206.408591</v>
      </c>
      <c r="N142" s="13">
        <v>1266.8466599999999</v>
      </c>
      <c r="O142" s="13">
        <v>1312.9467199999999</v>
      </c>
      <c r="P142" s="13">
        <v>749.02707399999997</v>
      </c>
      <c r="Q142" s="13">
        <v>473.96753899999999</v>
      </c>
      <c r="R142" s="13">
        <v>317.14206899999999</v>
      </c>
      <c r="S142" s="13">
        <v>2407.4383400000002</v>
      </c>
      <c r="T142" s="13">
        <v>709.09977000000003</v>
      </c>
      <c r="U142" s="13">
        <v>627.6418789999999</v>
      </c>
      <c r="V142" s="13">
        <v>1337.4621710000001</v>
      </c>
      <c r="W142" s="13">
        <v>229.142</v>
      </c>
      <c r="X142" s="13">
        <v>1809.6220000000001</v>
      </c>
      <c r="Y142" s="13">
        <v>1012.713557</v>
      </c>
      <c r="Z142" s="79"/>
    </row>
    <row r="143" spans="1:26" ht="14.25" customHeight="1" x14ac:dyDescent="0.25">
      <c r="A143" s="98"/>
      <c r="B143" s="76"/>
      <c r="C143" s="12" t="s">
        <v>7</v>
      </c>
      <c r="D143" s="83" t="s">
        <v>2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3.88809</v>
      </c>
      <c r="O143" s="13">
        <v>5.6699999999999997E-3</v>
      </c>
      <c r="P143" s="13">
        <v>107.05584999999999</v>
      </c>
      <c r="Q143" s="13">
        <v>35.861992999999998</v>
      </c>
      <c r="R143" s="13">
        <v>6.5325999999999995E-2</v>
      </c>
      <c r="S143" s="13">
        <v>0</v>
      </c>
      <c r="T143" s="13">
        <v>0</v>
      </c>
      <c r="U143" s="13">
        <v>0</v>
      </c>
      <c r="V143" s="13">
        <v>5.9457180000000003</v>
      </c>
      <c r="W143" s="13">
        <v>47.796660000000003</v>
      </c>
      <c r="X143" s="13">
        <v>58.685143000000004</v>
      </c>
      <c r="Y143" s="13">
        <v>6.7110900000000004</v>
      </c>
      <c r="Z143" s="79"/>
    </row>
    <row r="144" spans="1:26" ht="14.25" customHeight="1" x14ac:dyDescent="0.25">
      <c r="A144" s="98"/>
      <c r="B144" s="76" t="s">
        <v>75</v>
      </c>
      <c r="C144" s="12" t="s">
        <v>94</v>
      </c>
      <c r="D144" s="83" t="s">
        <v>2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>
        <v>0</v>
      </c>
      <c r="V144" s="13">
        <v>1.9994539999999998</v>
      </c>
      <c r="W144" s="13">
        <v>74.423636999999985</v>
      </c>
      <c r="X144" s="13">
        <v>188.714958</v>
      </c>
      <c r="Y144" s="13">
        <v>169.33654399999998</v>
      </c>
      <c r="Z144" s="79"/>
    </row>
    <row r="145" spans="1:26" ht="14.25" customHeight="1" x14ac:dyDescent="0.25">
      <c r="A145" s="98"/>
      <c r="B145" s="76" t="s">
        <v>107</v>
      </c>
      <c r="C145" s="14" t="s">
        <v>23</v>
      </c>
      <c r="D145" s="84" t="s">
        <v>2</v>
      </c>
      <c r="E145" s="14">
        <v>1221.68001</v>
      </c>
      <c r="F145" s="14">
        <v>558.88291300000014</v>
      </c>
      <c r="G145" s="14">
        <v>3458.9203029999999</v>
      </c>
      <c r="H145" s="14">
        <v>1774.169144</v>
      </c>
      <c r="I145" s="14">
        <v>1595.5627910000001</v>
      </c>
      <c r="J145" s="14">
        <v>2351.0354409999995</v>
      </c>
      <c r="K145" s="14">
        <v>2412.2453540000001</v>
      </c>
      <c r="L145" s="14">
        <v>345.30508400000002</v>
      </c>
      <c r="M145" s="14">
        <v>342.30882400000007</v>
      </c>
      <c r="N145" s="14">
        <v>1389.645775</v>
      </c>
      <c r="O145" s="14">
        <v>1654.636896</v>
      </c>
      <c r="P145" s="14">
        <v>1469.8891619999997</v>
      </c>
      <c r="Q145" s="14">
        <v>733.88345499999991</v>
      </c>
      <c r="R145" s="14">
        <v>343.53614100000004</v>
      </c>
      <c r="S145" s="14">
        <v>2746.3402289999999</v>
      </c>
      <c r="T145" s="14">
        <v>1203.643151</v>
      </c>
      <c r="U145" s="14">
        <v>818.98568699999987</v>
      </c>
      <c r="V145" s="14">
        <v>6309.9876219999996</v>
      </c>
      <c r="W145" s="14">
        <v>6240.560219</v>
      </c>
      <c r="X145" s="14">
        <v>4653.8929879999996</v>
      </c>
      <c r="Y145" s="14">
        <f>+SUM(Y140:Y144)</f>
        <v>4303.7889769999992</v>
      </c>
      <c r="Z145" s="79"/>
    </row>
    <row r="146" spans="1:26" ht="14.25" customHeight="1" x14ac:dyDescent="0.25">
      <c r="A146" s="98"/>
      <c r="B146" s="76"/>
      <c r="C146" s="12" t="s">
        <v>8</v>
      </c>
      <c r="D146" s="83" t="s">
        <v>2</v>
      </c>
      <c r="E146" s="13">
        <v>-527.18943899999999</v>
      </c>
      <c r="F146" s="13">
        <v>-76.419935999999993</v>
      </c>
      <c r="G146" s="13">
        <v>-4.4829540000000003</v>
      </c>
      <c r="H146" s="13">
        <v>-784.5808760000001</v>
      </c>
      <c r="I146" s="13">
        <v>-329.239172</v>
      </c>
      <c r="J146" s="13">
        <v>-16.881608</v>
      </c>
      <c r="K146" s="13">
        <v>-0.288603</v>
      </c>
      <c r="L146" s="13">
        <v>-0.71423400000000004</v>
      </c>
      <c r="M146" s="13">
        <v>-0.43872299999999997</v>
      </c>
      <c r="N146" s="13">
        <v>-0.64801799999999998</v>
      </c>
      <c r="O146" s="13">
        <v>-55.415868000000003</v>
      </c>
      <c r="P146" s="13">
        <v>-320.64138199999996</v>
      </c>
      <c r="Q146" s="13">
        <v>-69.099403000000009</v>
      </c>
      <c r="R146" s="13">
        <v>-267.13111300000003</v>
      </c>
      <c r="S146" s="13">
        <v>-261.166878</v>
      </c>
      <c r="T146" s="13">
        <v>-2617.5289609999995</v>
      </c>
      <c r="U146" s="13">
        <v>-3794.8116820000009</v>
      </c>
      <c r="V146" s="13">
        <v>-27.950493999999999</v>
      </c>
      <c r="W146" s="13">
        <v>-77.810676999999998</v>
      </c>
      <c r="X146" s="13">
        <v>-925.9967529999999</v>
      </c>
      <c r="Y146" s="13">
        <v>-101.18807600000001</v>
      </c>
      <c r="Z146" s="79"/>
    </row>
    <row r="147" spans="1:26" ht="14.25" customHeight="1" x14ac:dyDescent="0.25">
      <c r="A147" s="98"/>
      <c r="B147" s="76"/>
      <c r="C147" s="12" t="s">
        <v>9</v>
      </c>
      <c r="D147" s="83" t="s">
        <v>2</v>
      </c>
      <c r="E147" s="13">
        <v>-1.8E-5</v>
      </c>
      <c r="F147" s="13">
        <v>-6.0000000000000002E-6</v>
      </c>
      <c r="G147" s="13">
        <v>-8.9999999999999992E-5</v>
      </c>
      <c r="H147" s="13">
        <v>-5.6542000000000002E-2</v>
      </c>
      <c r="I147" s="13">
        <v>-2.3040000000000001E-3</v>
      </c>
      <c r="J147" s="13">
        <v>-2.5000000000000001E-4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-2.7323999999999998E-2</v>
      </c>
      <c r="Q147" s="13">
        <v>-3.8580000000000008E-3</v>
      </c>
      <c r="R147" s="13">
        <v>-9.807999999999999E-3</v>
      </c>
      <c r="S147" s="13">
        <v>-1.5138E-2</v>
      </c>
      <c r="T147" s="13">
        <v>0</v>
      </c>
      <c r="U147" s="13">
        <v>0</v>
      </c>
      <c r="V147" s="13">
        <v>-3.48E-3</v>
      </c>
      <c r="W147" s="13">
        <v>-7.7999999999999999E-5</v>
      </c>
      <c r="X147" s="13">
        <v>0</v>
      </c>
      <c r="Y147" s="13">
        <v>0</v>
      </c>
      <c r="Z147" s="79"/>
    </row>
    <row r="148" spans="1:26" ht="14.25" customHeight="1" x14ac:dyDescent="0.25">
      <c r="A148" s="98"/>
      <c r="B148" s="76"/>
      <c r="C148" s="12" t="s">
        <v>10</v>
      </c>
      <c r="D148" s="83" t="s">
        <v>2</v>
      </c>
      <c r="E148" s="13">
        <v>-834.58061500000019</v>
      </c>
      <c r="F148" s="13">
        <v>-2023.4271809999996</v>
      </c>
      <c r="G148" s="13">
        <v>-573.22487599999988</v>
      </c>
      <c r="H148" s="13">
        <v>-833.84290300000009</v>
      </c>
      <c r="I148" s="13">
        <v>-962.88378699999998</v>
      </c>
      <c r="J148" s="13">
        <v>-344.572926</v>
      </c>
      <c r="K148" s="13">
        <v>-264.648887</v>
      </c>
      <c r="L148" s="13">
        <v>-278.877882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-13.160771</v>
      </c>
      <c r="S148" s="13">
        <v>0</v>
      </c>
      <c r="T148" s="13">
        <v>-470.68099999999998</v>
      </c>
      <c r="U148" s="13">
        <v>-55.027999999999999</v>
      </c>
      <c r="V148" s="13">
        <v>-3.2309999999999999</v>
      </c>
      <c r="W148" s="13">
        <v>-19.658000000000001</v>
      </c>
      <c r="X148" s="13">
        <v>-43.868678000000003</v>
      </c>
      <c r="Y148" s="13">
        <v>-407.19300000000004</v>
      </c>
      <c r="Z148" s="79"/>
    </row>
    <row r="149" spans="1:26" ht="14.25" customHeight="1" x14ac:dyDescent="0.25">
      <c r="A149" s="98"/>
      <c r="B149" s="76"/>
      <c r="C149" s="12" t="s">
        <v>11</v>
      </c>
      <c r="D149" s="83" t="s">
        <v>2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-5.0379720000000008</v>
      </c>
      <c r="O149" s="13">
        <v>-4.6800000000000001E-3</v>
      </c>
      <c r="P149" s="13">
        <v>-6.5631309999999994</v>
      </c>
      <c r="Q149" s="13">
        <v>-0.12339</v>
      </c>
      <c r="R149" s="13">
        <v>0</v>
      </c>
      <c r="S149" s="13">
        <v>0</v>
      </c>
      <c r="T149" s="13">
        <v>-0.71010000000000006</v>
      </c>
      <c r="U149" s="13">
        <v>0</v>
      </c>
      <c r="V149" s="13">
        <v>0</v>
      </c>
      <c r="W149" s="13">
        <v>0</v>
      </c>
      <c r="X149" s="13">
        <v>0</v>
      </c>
      <c r="Y149" s="13">
        <v>-1.9999999999999999E-6</v>
      </c>
      <c r="Z149" s="79"/>
    </row>
    <row r="150" spans="1:26" ht="14.25" customHeight="1" x14ac:dyDescent="0.25">
      <c r="A150" s="98"/>
      <c r="B150" s="76"/>
      <c r="C150" s="12" t="s">
        <v>95</v>
      </c>
      <c r="D150" s="83" t="s">
        <v>2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>
        <v>0</v>
      </c>
      <c r="V150" s="13">
        <v>-8.6438000000002499E-2</v>
      </c>
      <c r="W150" s="13">
        <v>-0.23616800000000002</v>
      </c>
      <c r="X150" s="13">
        <v>-0.23505500000000004</v>
      </c>
      <c r="Y150" s="13">
        <v>-0.206093</v>
      </c>
      <c r="Z150" s="79"/>
    </row>
    <row r="151" spans="1:26" ht="14.25" customHeight="1" x14ac:dyDescent="0.25">
      <c r="A151" s="99"/>
      <c r="B151" s="76"/>
      <c r="C151" s="14" t="s">
        <v>24</v>
      </c>
      <c r="D151" s="84" t="s">
        <v>2</v>
      </c>
      <c r="E151" s="14">
        <v>-1361.7700720000003</v>
      </c>
      <c r="F151" s="14">
        <v>-2099.8471229999996</v>
      </c>
      <c r="G151" s="14">
        <v>-577.70791999999983</v>
      </c>
      <c r="H151" s="14">
        <v>-1618.4803210000002</v>
      </c>
      <c r="I151" s="14">
        <v>-1292.1252629999999</v>
      </c>
      <c r="J151" s="14">
        <v>-361.45478400000002</v>
      </c>
      <c r="K151" s="14">
        <v>-264.93749000000003</v>
      </c>
      <c r="L151" s="14">
        <v>-279.59211599999998</v>
      </c>
      <c r="M151" s="14">
        <v>-0.43872299999999997</v>
      </c>
      <c r="N151" s="14">
        <v>-5.6859900000000003</v>
      </c>
      <c r="O151" s="14">
        <v>-55.420548000000004</v>
      </c>
      <c r="P151" s="14">
        <v>-327.23183699999998</v>
      </c>
      <c r="Q151" s="14">
        <v>-69.226651000000004</v>
      </c>
      <c r="R151" s="14">
        <v>-280.30169200000006</v>
      </c>
      <c r="S151" s="14">
        <v>-261.18201599999998</v>
      </c>
      <c r="T151" s="14">
        <v>-3088.9200609999994</v>
      </c>
      <c r="U151" s="14">
        <v>-3849.8111909999998</v>
      </c>
      <c r="V151" s="14">
        <v>-31.271411999999998</v>
      </c>
      <c r="W151" s="14">
        <v>-97.704923000000008</v>
      </c>
      <c r="X151" s="14">
        <v>-970.10048599999993</v>
      </c>
      <c r="Y151" s="14">
        <f>+SUM(Y146:Y150)</f>
        <v>-508.58717100000007</v>
      </c>
      <c r="Z151" s="79"/>
    </row>
    <row r="152" spans="1:26" ht="14.25" customHeight="1" x14ac:dyDescent="0.25">
      <c r="A152" s="94" t="s">
        <v>147</v>
      </c>
      <c r="B152" s="73"/>
      <c r="C152" s="12" t="s">
        <v>154</v>
      </c>
      <c r="D152" s="83" t="s">
        <v>12</v>
      </c>
      <c r="E152" s="21">
        <v>53.533136945563371</v>
      </c>
      <c r="F152" s="21">
        <v>77.75829685857525</v>
      </c>
      <c r="G152" s="21">
        <v>114.77794987483708</v>
      </c>
      <c r="H152" s="21">
        <v>151.8611001902847</v>
      </c>
      <c r="I152" s="21">
        <v>156.99050902643944</v>
      </c>
      <c r="J152" s="21">
        <v>232.10573043616529</v>
      </c>
      <c r="K152" s="21">
        <v>291.32121027040165</v>
      </c>
      <c r="L152" s="21">
        <v>310.00915647525449</v>
      </c>
      <c r="M152" s="21">
        <v>370.38594286833637</v>
      </c>
      <c r="N152" s="21">
        <v>531.57338067772571</v>
      </c>
      <c r="O152" s="21">
        <v>605.98275095230088</v>
      </c>
      <c r="P152" s="21">
        <v>992.25454274826461</v>
      </c>
      <c r="Q152" s="21">
        <v>1011.9613639407864</v>
      </c>
      <c r="R152" s="21">
        <v>1716.1021626726515</v>
      </c>
      <c r="S152" s="21">
        <v>2648.6984062397833</v>
      </c>
      <c r="T152" s="21">
        <v>3368.5448104866837</v>
      </c>
      <c r="U152" s="21">
        <v>5867.2134588778054</v>
      </c>
      <c r="V152" s="21">
        <v>10200.586061098133</v>
      </c>
      <c r="W152" s="21">
        <v>17877.753712649272</v>
      </c>
      <c r="X152" s="21">
        <v>56827.862149774228</v>
      </c>
      <c r="Y152" s="21">
        <v>74949.875337219753</v>
      </c>
      <c r="Z152" s="79"/>
    </row>
    <row r="153" spans="1:26" ht="14.25" customHeight="1" x14ac:dyDescent="0.25">
      <c r="A153" s="95"/>
      <c r="B153" s="73"/>
      <c r="C153" s="12" t="s">
        <v>155</v>
      </c>
      <c r="D153" s="83" t="s">
        <v>12</v>
      </c>
      <c r="E153" s="21">
        <v>7.933177957166488</v>
      </c>
      <c r="F153" s="21">
        <v>7.7596255487552721</v>
      </c>
      <c r="G153" s="21">
        <v>7.8057437034779777</v>
      </c>
      <c r="H153" s="21">
        <v>7.6413206765951847</v>
      </c>
      <c r="I153" s="21">
        <v>8.1163577835416056</v>
      </c>
      <c r="J153" s="21">
        <v>8.0313511615102229</v>
      </c>
      <c r="K153" s="21">
        <v>7.9564683946179757</v>
      </c>
      <c r="L153" s="21">
        <v>8.1296909601661529</v>
      </c>
      <c r="M153" s="21">
        <v>8.1007792722907084</v>
      </c>
      <c r="N153" s="21">
        <v>8.1581412305012826</v>
      </c>
      <c r="O153" s="21">
        <v>7.9198801994378867</v>
      </c>
      <c r="P153" s="21">
        <v>7.845426721601549</v>
      </c>
      <c r="Q153" s="21">
        <v>111.30999197671291</v>
      </c>
      <c r="R153" s="21">
        <v>291.06858421590266</v>
      </c>
      <c r="S153" s="21">
        <v>491.04973127494679</v>
      </c>
      <c r="T153" s="21">
        <v>520.41592205187408</v>
      </c>
      <c r="U153" s="21">
        <v>605.8283687177094</v>
      </c>
      <c r="V153" s="21">
        <v>892.26498383238084</v>
      </c>
      <c r="W153" s="21">
        <v>2129.4068090201254</v>
      </c>
      <c r="X153" s="21">
        <v>6663.2329062551044</v>
      </c>
      <c r="Y153" s="21">
        <v>10260.94234887516</v>
      </c>
      <c r="Z153" s="79"/>
    </row>
    <row r="154" spans="1:26" ht="14.25" customHeight="1" x14ac:dyDescent="0.25">
      <c r="A154" s="95"/>
      <c r="B154" s="73" t="s">
        <v>108</v>
      </c>
      <c r="C154" s="12" t="s">
        <v>156</v>
      </c>
      <c r="D154" s="83" t="s">
        <v>12</v>
      </c>
      <c r="E154" s="21">
        <v>5.3129274040929628</v>
      </c>
      <c r="F154" s="21">
        <v>7.1867414489403734</v>
      </c>
      <c r="G154" s="21">
        <v>9.9598435932704401</v>
      </c>
      <c r="H154" s="21">
        <v>10.650269638843227</v>
      </c>
      <c r="I154" s="21">
        <v>14.357671941990446</v>
      </c>
      <c r="J154" s="21">
        <v>18.146515738029027</v>
      </c>
      <c r="K154" s="21">
        <v>23.665533502842941</v>
      </c>
      <c r="L154" s="21">
        <v>14.446818204306741</v>
      </c>
      <c r="M154" s="21">
        <v>13.144591483321525</v>
      </c>
      <c r="N154" s="21">
        <v>12.57114158459701</v>
      </c>
      <c r="O154" s="21">
        <v>41.104826936881217</v>
      </c>
      <c r="P154" s="21">
        <v>57.637726605635287</v>
      </c>
      <c r="Q154" s="21">
        <v>51.75666320712655</v>
      </c>
      <c r="R154" s="21">
        <v>96.424933870931923</v>
      </c>
      <c r="S154" s="21">
        <v>121.51635380269965</v>
      </c>
      <c r="T154" s="21">
        <v>176.72155148711423</v>
      </c>
      <c r="U154" s="21">
        <v>323.54487792919707</v>
      </c>
      <c r="V154" s="21">
        <v>494.2136147950585</v>
      </c>
      <c r="W154" s="21">
        <v>842.4680922561929</v>
      </c>
      <c r="X154" s="21">
        <v>2651.080735942724</v>
      </c>
      <c r="Y154" s="21">
        <v>4020.7233314722534</v>
      </c>
      <c r="Z154" s="79"/>
    </row>
    <row r="155" spans="1:26" ht="14.25" customHeight="1" x14ac:dyDescent="0.25">
      <c r="A155" s="95"/>
      <c r="B155" s="73" t="s">
        <v>109</v>
      </c>
      <c r="C155" s="12" t="s">
        <v>157</v>
      </c>
      <c r="D155" s="83" t="s">
        <v>12</v>
      </c>
      <c r="E155" s="21">
        <v>1.5839911794260648</v>
      </c>
      <c r="F155" s="21">
        <v>1.473054357146717</v>
      </c>
      <c r="G155" s="21">
        <v>1.4424112468826389</v>
      </c>
      <c r="H155" s="21">
        <v>1.8576755397493108</v>
      </c>
      <c r="I155" s="21">
        <v>2.1388734303612074</v>
      </c>
      <c r="J155" s="21">
        <v>1.7186772939057886</v>
      </c>
      <c r="K155" s="21">
        <v>3.4201004430900923</v>
      </c>
      <c r="L155" s="21">
        <v>2.5718487621537309</v>
      </c>
      <c r="M155" s="21">
        <v>6.1982452722615706</v>
      </c>
      <c r="N155" s="21">
        <v>13.093589357937292</v>
      </c>
      <c r="O155" s="21">
        <v>14.168577042451295</v>
      </c>
      <c r="P155" s="21">
        <v>23.235543380425455</v>
      </c>
      <c r="Q155" s="21">
        <v>24.17565744012111</v>
      </c>
      <c r="R155" s="21">
        <v>80.650157090364999</v>
      </c>
      <c r="S155" s="21">
        <v>108.20085854724628</v>
      </c>
      <c r="T155" s="21">
        <v>112.1384438827953</v>
      </c>
      <c r="U155" s="21">
        <v>111.93182380570519</v>
      </c>
      <c r="V155" s="21">
        <v>145.31631613493215</v>
      </c>
      <c r="W155" s="21">
        <v>265.15842589743414</v>
      </c>
      <c r="X155" s="21">
        <v>2851.6873013912564</v>
      </c>
      <c r="Y155" s="21">
        <v>5319.6586837145396</v>
      </c>
      <c r="Z155" s="79"/>
    </row>
    <row r="156" spans="1:26" ht="14.25" customHeight="1" x14ac:dyDescent="0.25">
      <c r="A156" s="95"/>
      <c r="B156" s="73" t="s">
        <v>110</v>
      </c>
      <c r="C156" s="6" t="s">
        <v>158</v>
      </c>
      <c r="D156" s="89" t="s">
        <v>12</v>
      </c>
      <c r="E156" s="17">
        <f t="shared" ref="E156:Y156" si="5">+SUM(E152:E155)</f>
        <v>68.363233486248888</v>
      </c>
      <c r="F156" s="17">
        <f t="shared" si="5"/>
        <v>94.177718213417606</v>
      </c>
      <c r="G156" s="17">
        <f t="shared" si="5"/>
        <v>133.98594841846813</v>
      </c>
      <c r="H156" s="17">
        <f t="shared" si="5"/>
        <v>172.01036604547244</v>
      </c>
      <c r="I156" s="17">
        <f t="shared" si="5"/>
        <v>181.6034121823327</v>
      </c>
      <c r="J156" s="17">
        <f t="shared" si="5"/>
        <v>260.00227462961033</v>
      </c>
      <c r="K156" s="17">
        <f t="shared" si="5"/>
        <v>326.36331261095268</v>
      </c>
      <c r="L156" s="17">
        <f t="shared" si="5"/>
        <v>335.15751440188109</v>
      </c>
      <c r="M156" s="17">
        <f t="shared" si="5"/>
        <v>397.82955889621013</v>
      </c>
      <c r="N156" s="17">
        <f t="shared" si="5"/>
        <v>565.39625285076136</v>
      </c>
      <c r="O156" s="17">
        <f t="shared" si="5"/>
        <v>669.17603513107122</v>
      </c>
      <c r="P156" s="17">
        <f t="shared" si="5"/>
        <v>1080.9732394559269</v>
      </c>
      <c r="Q156" s="17">
        <f t="shared" si="5"/>
        <v>1199.203676564747</v>
      </c>
      <c r="R156" s="17">
        <f t="shared" si="5"/>
        <v>2184.2458378498513</v>
      </c>
      <c r="S156" s="17">
        <f t="shared" si="5"/>
        <v>3369.4653498646758</v>
      </c>
      <c r="T156" s="17">
        <f t="shared" si="5"/>
        <v>4177.8207279084672</v>
      </c>
      <c r="U156" s="17">
        <f t="shared" si="5"/>
        <v>6908.5185293304166</v>
      </c>
      <c r="V156" s="17">
        <f t="shared" si="5"/>
        <v>11732.380975860506</v>
      </c>
      <c r="W156" s="17">
        <f t="shared" si="5"/>
        <v>21114.787039823022</v>
      </c>
      <c r="X156" s="17">
        <f t="shared" si="5"/>
        <v>68993.86309336331</v>
      </c>
      <c r="Y156" s="17">
        <f t="shared" si="5"/>
        <v>94551.199701281716</v>
      </c>
      <c r="Z156" s="79"/>
    </row>
    <row r="157" spans="1:26" ht="14.25" customHeight="1" x14ac:dyDescent="0.25">
      <c r="A157" s="95"/>
      <c r="B157" s="73"/>
      <c r="C157" s="38" t="s">
        <v>159</v>
      </c>
      <c r="D157" s="85" t="s">
        <v>12</v>
      </c>
      <c r="E157" s="52">
        <v>49.787133530643636</v>
      </c>
      <c r="F157" s="52">
        <v>50.079870328971843</v>
      </c>
      <c r="G157" s="52">
        <v>49.502859224147841</v>
      </c>
      <c r="H157" s="52">
        <v>51.354632940941613</v>
      </c>
      <c r="I157" s="52">
        <v>56.650112437045699</v>
      </c>
      <c r="J157" s="52">
        <v>57.553131181945922</v>
      </c>
      <c r="K157" s="52">
        <v>58.756996679222944</v>
      </c>
      <c r="L157" s="52">
        <v>82.727028326624819</v>
      </c>
      <c r="M157" s="52">
        <v>95.11875865921813</v>
      </c>
      <c r="N157" s="52">
        <v>95.665897253951471</v>
      </c>
      <c r="O157" s="52">
        <v>95.333569731713695</v>
      </c>
      <c r="P157" s="52">
        <v>312.75812380525895</v>
      </c>
      <c r="Q157" s="52">
        <v>582.04334658090966</v>
      </c>
      <c r="R157" s="52">
        <v>1187.4446188767488</v>
      </c>
      <c r="S157" s="52">
        <v>2165.2088276931927</v>
      </c>
      <c r="T157" s="52">
        <v>2245.5332133652855</v>
      </c>
      <c r="U157" s="52">
        <v>2543.1024984001401</v>
      </c>
      <c r="V157" s="52">
        <v>4641.4388095396853</v>
      </c>
      <c r="W157" s="52">
        <v>9888.4927058734083</v>
      </c>
      <c r="X157" s="52">
        <v>43746.76239369328</v>
      </c>
      <c r="Y157" s="52">
        <v>66226.39607299857</v>
      </c>
      <c r="Z157" s="79"/>
    </row>
    <row r="158" spans="1:26" ht="14.25" customHeight="1" x14ac:dyDescent="0.25">
      <c r="A158" s="95"/>
      <c r="B158" s="56" t="s">
        <v>112</v>
      </c>
      <c r="C158" s="22" t="s">
        <v>68</v>
      </c>
      <c r="D158" s="90" t="s">
        <v>12</v>
      </c>
      <c r="E158" s="23">
        <v>130.67519458274933</v>
      </c>
      <c r="F158" s="23">
        <v>198.73481975460771</v>
      </c>
      <c r="G158" s="23">
        <v>257.69013770644796</v>
      </c>
      <c r="H158" s="23">
        <v>366.80750452111999</v>
      </c>
      <c r="I158" s="23">
        <v>269.11583453086263</v>
      </c>
      <c r="J158" s="23">
        <v>499.92890062657546</v>
      </c>
      <c r="K158" s="23">
        <v>551.24946709001972</v>
      </c>
      <c r="L158" s="23">
        <v>707.65282760671857</v>
      </c>
      <c r="M158" s="23">
        <v>890.59338694606288</v>
      </c>
      <c r="N158" s="23">
        <v>1417.5478857363616</v>
      </c>
      <c r="O158" s="23">
        <v>1636.6673090471795</v>
      </c>
      <c r="P158" s="23">
        <v>1955.1657553567741</v>
      </c>
      <c r="Q158" s="23">
        <v>1512.7715511941071</v>
      </c>
      <c r="R158" s="23">
        <v>2051.9285619969851</v>
      </c>
      <c r="S158" s="23">
        <v>2524.5297739488715</v>
      </c>
      <c r="T158" s="23">
        <v>3569.4747113156805</v>
      </c>
      <c r="U158" s="23">
        <v>9171.6498835775383</v>
      </c>
      <c r="V158" s="23">
        <v>23556.072670254729</v>
      </c>
      <c r="W158" s="23">
        <v>27957.316438959922</v>
      </c>
      <c r="X158" s="23">
        <v>61610.422262999782</v>
      </c>
      <c r="Y158" s="23">
        <v>74565.635851699786</v>
      </c>
      <c r="Z158" s="79"/>
    </row>
    <row r="159" spans="1:26" ht="14.25" customHeight="1" x14ac:dyDescent="0.25">
      <c r="A159" s="95"/>
      <c r="B159" s="73"/>
      <c r="C159" s="12" t="s">
        <v>160</v>
      </c>
      <c r="D159" s="83" t="s">
        <v>28</v>
      </c>
      <c r="E159" s="21">
        <v>18.291557954054241</v>
      </c>
      <c r="F159" s="21">
        <v>25.24878561250377</v>
      </c>
      <c r="G159" s="21">
        <v>36.768642704529555</v>
      </c>
      <c r="H159" s="21">
        <v>48.061638903733112</v>
      </c>
      <c r="I159" s="21">
        <v>41.897105146951695</v>
      </c>
      <c r="J159" s="21">
        <v>59.057682690136829</v>
      </c>
      <c r="K159" s="21">
        <v>70.367964924957121</v>
      </c>
      <c r="L159" s="21">
        <v>67.798459030533607</v>
      </c>
      <c r="M159" s="21">
        <v>66.671814978489778</v>
      </c>
      <c r="N159" s="21">
        <v>64.570232548123286</v>
      </c>
      <c r="O159" s="21">
        <v>64.578971330477842</v>
      </c>
      <c r="P159" s="21">
        <v>66.487791303565913</v>
      </c>
      <c r="Q159" s="21">
        <v>60.455956180114228</v>
      </c>
      <c r="R159" s="21">
        <v>60.068984588243566</v>
      </c>
      <c r="S159" s="21">
        <v>54.09754476402302</v>
      </c>
      <c r="T159" s="21">
        <v>47.230588926366963</v>
      </c>
      <c r="U159" s="21">
        <v>61.051938420202504</v>
      </c>
      <c r="V159" s="21">
        <v>77.193981553483709</v>
      </c>
      <c r="W159" s="21">
        <v>62.319762717067874</v>
      </c>
      <c r="X159" s="21">
        <v>62.589687049045601</v>
      </c>
      <c r="Y159" s="21">
        <v>58.484429297712197</v>
      </c>
      <c r="Z159" s="79"/>
    </row>
    <row r="160" spans="1:26" ht="14.25" customHeight="1" x14ac:dyDescent="0.25">
      <c r="A160" s="95"/>
      <c r="B160" s="73"/>
      <c r="C160" s="12" t="s">
        <v>161</v>
      </c>
      <c r="D160" s="83" t="s">
        <v>28</v>
      </c>
      <c r="E160" s="21">
        <v>2.7062425853222529</v>
      </c>
      <c r="F160" s="21">
        <v>2.5201274696613742</v>
      </c>
      <c r="G160" s="21">
        <v>2.5015145455662027</v>
      </c>
      <c r="H160" s="21">
        <v>2.4057392184286663</v>
      </c>
      <c r="I160" s="21">
        <v>2.1666279273266489</v>
      </c>
      <c r="J160" s="21">
        <v>2.0475371292174773</v>
      </c>
      <c r="K160" s="21">
        <v>1.9203613982594321</v>
      </c>
      <c r="L160" s="21">
        <v>1.7778100114990896</v>
      </c>
      <c r="M160" s="21">
        <v>1.4684268378001668</v>
      </c>
      <c r="N160" s="21">
        <v>0.99157159013088136</v>
      </c>
      <c r="O160" s="21">
        <v>0.84782426733765737</v>
      </c>
      <c r="P160" s="21">
        <v>0.52585826578865669</v>
      </c>
      <c r="Q160" s="21">
        <v>6.5426303151841729</v>
      </c>
      <c r="R160" s="21">
        <v>9.9159506623367299</v>
      </c>
      <c r="S160" s="21">
        <v>9.9241987129575584</v>
      </c>
      <c r="T160" s="21">
        <v>7.3904104889075208</v>
      </c>
      <c r="U160" s="21">
        <v>6.3018185158750288</v>
      </c>
      <c r="V160" s="21">
        <v>6.6901571076501201</v>
      </c>
      <c r="W160" s="21">
        <v>6.9429056315765063</v>
      </c>
      <c r="X160" s="21">
        <v>7.1670808262748835</v>
      </c>
      <c r="Y160" s="21">
        <v>8.5218011817808232</v>
      </c>
      <c r="Z160" s="79"/>
    </row>
    <row r="161" spans="1:26" ht="14.25" customHeight="1" x14ac:dyDescent="0.25">
      <c r="A161" s="95"/>
      <c r="B161" s="73" t="s">
        <v>108</v>
      </c>
      <c r="C161" s="12" t="s">
        <v>162</v>
      </c>
      <c r="D161" s="83" t="s">
        <v>28</v>
      </c>
      <c r="E161" s="21">
        <v>1.8116098504411531</v>
      </c>
      <c r="F161" s="21">
        <v>2.3365658710761514</v>
      </c>
      <c r="G161" s="21">
        <v>3.192176190181085</v>
      </c>
      <c r="H161" s="21">
        <v>3.3540715770726872</v>
      </c>
      <c r="I161" s="21">
        <v>3.8294857535507036</v>
      </c>
      <c r="J161" s="21">
        <v>4.6298875220293914</v>
      </c>
      <c r="K161" s="21">
        <v>5.7181786085250534</v>
      </c>
      <c r="L161" s="21">
        <v>3.1722793646479905</v>
      </c>
      <c r="M161" s="21">
        <v>2.3907196966928961</v>
      </c>
      <c r="N161" s="21">
        <v>1.5308984753638764</v>
      </c>
      <c r="O161" s="21">
        <v>4.4078472157915671</v>
      </c>
      <c r="P161" s="21">
        <v>3.8796218640364075</v>
      </c>
      <c r="Q161" s="21">
        <v>3.0639486807265053</v>
      </c>
      <c r="R161" s="21">
        <v>3.4261765147064014</v>
      </c>
      <c r="S161" s="21">
        <v>2.4970580200111856</v>
      </c>
      <c r="T161" s="21">
        <v>2.4777163765405423</v>
      </c>
      <c r="U161" s="21">
        <v>3.3561310982863843</v>
      </c>
      <c r="V161" s="21">
        <v>3.7276832691588413</v>
      </c>
      <c r="W161" s="21">
        <v>2.9518507327186625</v>
      </c>
      <c r="X161" s="21">
        <v>2.8616191293515438</v>
      </c>
      <c r="Y161" s="21">
        <v>3.2441853197761388</v>
      </c>
      <c r="Z161" s="79"/>
    </row>
    <row r="162" spans="1:26" ht="14.25" customHeight="1" x14ac:dyDescent="0.25">
      <c r="A162" s="95"/>
      <c r="B162" s="73" t="s">
        <v>109</v>
      </c>
      <c r="C162" s="12" t="s">
        <v>163</v>
      </c>
      <c r="D162" s="83" t="s">
        <v>28</v>
      </c>
      <c r="E162" s="21">
        <v>0.5404911045155163</v>
      </c>
      <c r="F162" s="21">
        <v>0.47846567150153918</v>
      </c>
      <c r="G162" s="21">
        <v>0.46235204446464434</v>
      </c>
      <c r="H162" s="21">
        <v>0.58403545786940669</v>
      </c>
      <c r="I162" s="21">
        <v>0.57246096291574444</v>
      </c>
      <c r="J162" s="21">
        <v>0.43809691705757564</v>
      </c>
      <c r="K162" s="21">
        <v>0.83269420945309347</v>
      </c>
      <c r="L162" s="21">
        <v>0.56057918354472425</v>
      </c>
      <c r="M162" s="21">
        <v>1.0888189525807404</v>
      </c>
      <c r="N162" s="21">
        <v>1.5948166546889009</v>
      </c>
      <c r="O162" s="21">
        <v>1.4770633367912118</v>
      </c>
      <c r="P162" s="21">
        <v>1.5591846648949419</v>
      </c>
      <c r="Q162" s="21">
        <v>1.4227162097543642</v>
      </c>
      <c r="R162" s="21">
        <v>2.8486223085935332</v>
      </c>
      <c r="S162" s="21">
        <v>2.2580371661825671</v>
      </c>
      <c r="T162" s="21">
        <v>1.5834015986371106</v>
      </c>
      <c r="U162" s="21">
        <v>1.170188244504093</v>
      </c>
      <c r="V162" s="21">
        <v>1.1057495957915593</v>
      </c>
      <c r="W162" s="21">
        <v>0.94124733621900214</v>
      </c>
      <c r="X162" s="21">
        <v>3.0009326854332299</v>
      </c>
      <c r="Y162" s="21">
        <v>4.3408824831898745</v>
      </c>
      <c r="Z162" s="79"/>
    </row>
    <row r="163" spans="1:26" ht="14.25" customHeight="1" x14ac:dyDescent="0.25">
      <c r="A163" s="95"/>
      <c r="B163" s="73" t="s">
        <v>111</v>
      </c>
      <c r="C163" s="14" t="s">
        <v>69</v>
      </c>
      <c r="D163" s="84" t="s">
        <v>28</v>
      </c>
      <c r="E163" s="17">
        <f>+SUM(E159:E162)</f>
        <v>23.349901494333167</v>
      </c>
      <c r="F163" s="17">
        <f t="shared" ref="F163:J163" si="6">+SUM(F159:F162)</f>
        <v>30.583944624742834</v>
      </c>
      <c r="G163" s="17">
        <f t="shared" si="6"/>
        <v>42.924685484741488</v>
      </c>
      <c r="H163" s="17">
        <f t="shared" si="6"/>
        <v>54.405485157103868</v>
      </c>
      <c r="I163" s="17">
        <f t="shared" si="6"/>
        <v>48.465679790744794</v>
      </c>
      <c r="J163" s="17">
        <f t="shared" si="6"/>
        <v>66.173204258441274</v>
      </c>
      <c r="K163" s="17">
        <f t="shared" ref="K163" si="7">+SUM(K159:K162)</f>
        <v>78.839199141194698</v>
      </c>
      <c r="L163" s="17">
        <f t="shared" ref="L163" si="8">+SUM(L159:L162)</f>
        <v>73.309127590225401</v>
      </c>
      <c r="M163" s="17">
        <f t="shared" ref="M163" si="9">+SUM(M159:M162)</f>
        <v>71.619780465563579</v>
      </c>
      <c r="N163" s="17">
        <f t="shared" ref="N163:O163" si="10">+SUM(N159:N162)</f>
        <v>68.687519268306929</v>
      </c>
      <c r="O163" s="17">
        <f t="shared" si="10"/>
        <v>71.31170615039828</v>
      </c>
      <c r="P163" s="17">
        <f t="shared" ref="P163" si="11">+SUM(P159:P162)</f>
        <v>72.452456098285921</v>
      </c>
      <c r="Q163" s="17">
        <f t="shared" ref="Q163" si="12">+SUM(Q159:Q162)</f>
        <v>71.485251385779279</v>
      </c>
      <c r="R163" s="17">
        <f t="shared" ref="R163" si="13">+SUM(R159:R162)</f>
        <v>76.259734073880225</v>
      </c>
      <c r="S163" s="17">
        <f t="shared" ref="S163:T163" si="14">+SUM(S159:S162)</f>
        <v>68.776838663174317</v>
      </c>
      <c r="T163" s="17">
        <f t="shared" si="14"/>
        <v>58.682117390452134</v>
      </c>
      <c r="U163" s="17">
        <f t="shared" ref="U163" si="15">+SUM(U159:U162)</f>
        <v>71.880076278868003</v>
      </c>
      <c r="V163" s="17">
        <f t="shared" ref="V163" si="16">+SUM(V159:V162)</f>
        <v>88.717571526084242</v>
      </c>
      <c r="W163" s="17">
        <f t="shared" ref="W163" si="17">+SUM(W159:W162)</f>
        <v>73.155766417582058</v>
      </c>
      <c r="X163" s="17">
        <f t="shared" ref="X163:Y163" si="18">+SUM(X159:X162)</f>
        <v>75.619319690105257</v>
      </c>
      <c r="Y163" s="17">
        <f t="shared" si="18"/>
        <v>74.591298282459022</v>
      </c>
      <c r="Z163" s="79"/>
    </row>
    <row r="164" spans="1:26" ht="14.25" customHeight="1" x14ac:dyDescent="0.25">
      <c r="A164" s="95"/>
      <c r="B164" s="73"/>
      <c r="C164" s="38" t="s">
        <v>70</v>
      </c>
      <c r="D164" s="85" t="s">
        <v>28</v>
      </c>
      <c r="E164" s="55">
        <v>17.080024768082851</v>
      </c>
      <c r="F164" s="55">
        <v>16.268017031102545</v>
      </c>
      <c r="G164" s="55">
        <v>15.868504992407445</v>
      </c>
      <c r="H164" s="55">
        <v>16.149509564911906</v>
      </c>
      <c r="I164" s="55">
        <v>15.115564447688163</v>
      </c>
      <c r="J164" s="55">
        <v>14.672376689129752</v>
      </c>
      <c r="K164" s="55">
        <v>14.178270218735113</v>
      </c>
      <c r="L164" s="55">
        <v>18.078656525229697</v>
      </c>
      <c r="M164" s="55">
        <v>17.156315394961101</v>
      </c>
      <c r="N164" s="55">
        <v>11.622115880386588</v>
      </c>
      <c r="O164" s="55">
        <v>10.096666844186615</v>
      </c>
      <c r="P164" s="55">
        <v>20.927449965640992</v>
      </c>
      <c r="Q164" s="55">
        <v>34.731732558578905</v>
      </c>
      <c r="R164" s="55">
        <v>40.503780888830796</v>
      </c>
      <c r="S164" s="55">
        <v>45.072910376150247</v>
      </c>
      <c r="T164" s="55">
        <v>31.793006507236601</v>
      </c>
      <c r="U164" s="55">
        <v>26.490057222696052</v>
      </c>
      <c r="V164" s="55">
        <v>34.372236509475243</v>
      </c>
      <c r="W164" s="55">
        <v>34.800161727513832</v>
      </c>
      <c r="X164" s="55">
        <v>46.599241645693503</v>
      </c>
      <c r="Y164" s="55">
        <v>53.107757682553768</v>
      </c>
      <c r="Z164" s="79"/>
    </row>
    <row r="165" spans="1:26" ht="14.25" customHeight="1" x14ac:dyDescent="0.25">
      <c r="A165" s="95"/>
      <c r="B165" s="57" t="s">
        <v>113</v>
      </c>
      <c r="C165" s="24" t="s">
        <v>71</v>
      </c>
      <c r="D165" s="90" t="s">
        <v>28</v>
      </c>
      <c r="E165" s="23">
        <v>44.057255024558266</v>
      </c>
      <c r="F165" s="23">
        <v>64.666808112297687</v>
      </c>
      <c r="G165" s="23">
        <v>82.752427475286225</v>
      </c>
      <c r="H165" s="23">
        <v>117.31398625741453</v>
      </c>
      <c r="I165" s="23">
        <v>72.313419971515344</v>
      </c>
      <c r="J165" s="23">
        <v>127.45871283352362</v>
      </c>
      <c r="K165" s="23">
        <v>134.18869343028445</v>
      </c>
      <c r="L165" s="23">
        <v>155.92205770181434</v>
      </c>
      <c r="M165" s="23">
        <v>162.58425926076279</v>
      </c>
      <c r="N165" s="23">
        <v>177.68366618752145</v>
      </c>
      <c r="O165" s="23">
        <v>180.75688240668336</v>
      </c>
      <c r="P165" s="23">
        <v>134.57287634066034</v>
      </c>
      <c r="Q165" s="23">
        <v>92.55271074727932</v>
      </c>
      <c r="R165" s="23">
        <v>81.475061483816333</v>
      </c>
      <c r="S165" s="23">
        <v>54.327067564403578</v>
      </c>
      <c r="T165" s="23">
        <v>51.137262669479497</v>
      </c>
      <c r="U165" s="23">
        <v>96.129495403194213</v>
      </c>
      <c r="V165" s="23">
        <v>179.8</v>
      </c>
      <c r="W165" s="23">
        <v>119.30101108751138</v>
      </c>
      <c r="X165" s="23">
        <v>67.86714249040476</v>
      </c>
      <c r="Y165" s="23">
        <v>61.678467659059706</v>
      </c>
      <c r="Z165" s="79"/>
    </row>
    <row r="166" spans="1:26" ht="14.25" customHeight="1" x14ac:dyDescent="0.25">
      <c r="A166" s="96"/>
      <c r="B166" s="77" t="s">
        <v>72</v>
      </c>
      <c r="C166" s="14" t="s">
        <v>73</v>
      </c>
      <c r="D166" s="84" t="s">
        <v>35</v>
      </c>
      <c r="E166" s="15">
        <f t="shared" ref="E166:Y166" si="19">+E157/E156</f>
        <v>0.72827353230239189</v>
      </c>
      <c r="F166" s="15">
        <f t="shared" si="19"/>
        <v>0.53175922372089179</v>
      </c>
      <c r="G166" s="15">
        <f t="shared" si="19"/>
        <v>0.36946306540697332</v>
      </c>
      <c r="H166" s="15">
        <f t="shared" si="19"/>
        <v>0.29855545407865458</v>
      </c>
      <c r="I166" s="15">
        <f t="shared" si="19"/>
        <v>0.31194409706447634</v>
      </c>
      <c r="J166" s="15">
        <f t="shared" si="19"/>
        <v>0.22135626030169928</v>
      </c>
      <c r="K166" s="15">
        <f t="shared" si="19"/>
        <v>0.18003554446472142</v>
      </c>
      <c r="L166" s="15">
        <f t="shared" si="19"/>
        <v>0.24683029552316227</v>
      </c>
      <c r="M166" s="15">
        <f t="shared" si="19"/>
        <v>0.23909424659929226</v>
      </c>
      <c r="N166" s="15">
        <f t="shared" si="19"/>
        <v>0.16920150561946309</v>
      </c>
      <c r="O166" s="15">
        <f t="shared" si="19"/>
        <v>0.14246411217197991</v>
      </c>
      <c r="P166" s="15">
        <f t="shared" si="19"/>
        <v>0.28933012621355519</v>
      </c>
      <c r="Q166" s="15">
        <f t="shared" si="19"/>
        <v>0.48535820724652706</v>
      </c>
      <c r="R166" s="15">
        <f t="shared" si="19"/>
        <v>0.54364055469399764</v>
      </c>
      <c r="S166" s="15">
        <f t="shared" si="19"/>
        <v>0.64259714906406495</v>
      </c>
      <c r="T166" s="15">
        <f t="shared" si="19"/>
        <v>0.53748912641578606</v>
      </c>
      <c r="U166" s="15">
        <f t="shared" si="19"/>
        <v>0.36811112072773455</v>
      </c>
      <c r="V166" s="15">
        <f t="shared" si="19"/>
        <v>0.39560928161892228</v>
      </c>
      <c r="W166" s="15">
        <f t="shared" si="19"/>
        <v>0.46832074068393209</v>
      </c>
      <c r="X166" s="15">
        <f t="shared" si="19"/>
        <v>0.63406744357095424</v>
      </c>
      <c r="Y166" s="15">
        <f t="shared" si="19"/>
        <v>0.70042893461140099</v>
      </c>
      <c r="Z166" s="79"/>
    </row>
    <row r="167" spans="1:26" ht="14.25" customHeight="1" x14ac:dyDescent="0.25">
      <c r="A167" s="100" t="s">
        <v>76</v>
      </c>
      <c r="B167" s="73"/>
      <c r="C167" s="58" t="s">
        <v>29</v>
      </c>
      <c r="D167" s="91" t="s">
        <v>30</v>
      </c>
      <c r="E167" s="59">
        <v>2.9149333333333334</v>
      </c>
      <c r="F167" s="59">
        <v>3.0784249999999997</v>
      </c>
      <c r="G167" s="59">
        <v>3.1195666666666662</v>
      </c>
      <c r="H167" s="59">
        <v>3.1799499999999998</v>
      </c>
      <c r="I167" s="59">
        <v>3.7478000000000002</v>
      </c>
      <c r="J167" s="59">
        <v>3.9225500000000006</v>
      </c>
      <c r="K167" s="59">
        <v>4.1441583333333334</v>
      </c>
      <c r="L167" s="59">
        <v>4.5759499999999997</v>
      </c>
      <c r="M167" s="59">
        <v>5.5442416666666672</v>
      </c>
      <c r="N167" s="59">
        <v>8.2313666666666663</v>
      </c>
      <c r="O167" s="59">
        <v>9.4420833333333327</v>
      </c>
      <c r="P167" s="59">
        <v>14.944875000000001</v>
      </c>
      <c r="Q167" s="59">
        <v>16.758258333333334</v>
      </c>
      <c r="R167" s="59">
        <v>29.316883333333333</v>
      </c>
      <c r="S167" s="59">
        <v>49.225200000000001</v>
      </c>
      <c r="T167" s="59">
        <v>71.605741666666646</v>
      </c>
      <c r="U167" s="59">
        <v>95.803616666666656</v>
      </c>
      <c r="V167" s="59">
        <v>133.55472500000002</v>
      </c>
      <c r="W167" s="59">
        <v>317.16124166666668</v>
      </c>
      <c r="X167" s="59">
        <v>925.09722499999998</v>
      </c>
      <c r="Y167" s="59">
        <v>1262.3816333333334</v>
      </c>
      <c r="Z167" s="79"/>
    </row>
    <row r="168" spans="1:26" ht="14.25" customHeight="1" x14ac:dyDescent="0.25">
      <c r="A168" s="101"/>
      <c r="B168" s="73" t="s">
        <v>148</v>
      </c>
      <c r="C168" s="60" t="s">
        <v>31</v>
      </c>
      <c r="D168" s="92" t="s">
        <v>34</v>
      </c>
      <c r="E168" s="55">
        <v>56.492500000000007</v>
      </c>
      <c r="F168" s="55">
        <v>65.16</v>
      </c>
      <c r="G168" s="55">
        <v>72.44</v>
      </c>
      <c r="H168" s="55">
        <v>96.94</v>
      </c>
      <c r="I168" s="55">
        <v>61.74</v>
      </c>
      <c r="J168" s="55">
        <v>79.61</v>
      </c>
      <c r="K168" s="55">
        <v>111.26</v>
      </c>
      <c r="L168" s="55">
        <v>111.63</v>
      </c>
      <c r="M168" s="55">
        <v>108.56</v>
      </c>
      <c r="N168" s="55">
        <v>98.97</v>
      </c>
      <c r="O168" s="55">
        <v>52.32</v>
      </c>
      <c r="P168" s="55">
        <v>43.64</v>
      </c>
      <c r="Q168" s="55">
        <v>54.13</v>
      </c>
      <c r="R168" s="55">
        <v>71.34</v>
      </c>
      <c r="S168" s="55">
        <v>64.358000000000004</v>
      </c>
      <c r="T168" s="55">
        <v>41.749166666666667</v>
      </c>
      <c r="U168" s="55">
        <v>70.677333333333337</v>
      </c>
      <c r="V168" s="55">
        <v>100.77783333333333</v>
      </c>
      <c r="W168" s="55">
        <v>82.459318656489714</v>
      </c>
      <c r="X168" s="55">
        <v>80.536522902419634</v>
      </c>
      <c r="Y168" s="55">
        <v>69.164451164573208</v>
      </c>
      <c r="Z168" s="79"/>
    </row>
    <row r="169" spans="1:26" ht="14.25" customHeight="1" x14ac:dyDescent="0.25">
      <c r="A169" s="102"/>
      <c r="B169" s="73"/>
      <c r="C169" s="61" t="s">
        <v>32</v>
      </c>
      <c r="D169" s="93" t="s">
        <v>33</v>
      </c>
      <c r="E169" s="62">
        <v>18.2</v>
      </c>
      <c r="F169" s="62">
        <v>18.48193681318682</v>
      </c>
      <c r="G169" s="62">
        <v>17.585524781341125</v>
      </c>
      <c r="H169" s="62">
        <v>18.892917847025494</v>
      </c>
      <c r="I169" s="62">
        <v>18.538601108033266</v>
      </c>
      <c r="J169" s="62">
        <v>18.434726027397264</v>
      </c>
      <c r="K169" s="62">
        <v>18.254931506849335</v>
      </c>
      <c r="L169" s="62">
        <v>18.677185792349718</v>
      </c>
      <c r="M169" s="62">
        <v>18.479041095890398</v>
      </c>
      <c r="N169" s="62">
        <v>18.615068493150677</v>
      </c>
      <c r="O169" s="62">
        <v>18.815273972602728</v>
      </c>
      <c r="P169" s="62">
        <v>18.057786885245893</v>
      </c>
      <c r="Q169" s="62">
        <v>19.122602739726009</v>
      </c>
      <c r="R169" s="62">
        <v>18.799726027397256</v>
      </c>
      <c r="S169" s="62">
        <v>18.670000000000002</v>
      </c>
      <c r="T169" s="62">
        <v>18.579999999999998</v>
      </c>
      <c r="U169" s="62">
        <v>18.689813372883449</v>
      </c>
      <c r="V169" s="62">
        <v>18.374566957112844</v>
      </c>
      <c r="W169" s="62">
        <v>19.387233422939065</v>
      </c>
      <c r="X169" s="62">
        <v>18.94056899641577</v>
      </c>
      <c r="Y169" s="62">
        <v>19.159955197132618</v>
      </c>
      <c r="Z169" s="79"/>
    </row>
    <row r="170" spans="1:26" ht="24" x14ac:dyDescent="0.25">
      <c r="B170" s="10"/>
      <c r="C170" s="25" t="s">
        <v>43</v>
      </c>
      <c r="D170" s="25"/>
      <c r="E170" s="26">
        <v>365</v>
      </c>
      <c r="F170" s="26">
        <v>365</v>
      </c>
      <c r="G170" s="26">
        <v>365</v>
      </c>
      <c r="H170" s="26">
        <v>366</v>
      </c>
      <c r="I170" s="26">
        <v>365</v>
      </c>
      <c r="J170" s="26">
        <v>365</v>
      </c>
      <c r="K170" s="26">
        <v>365</v>
      </c>
      <c r="L170" s="26">
        <v>366</v>
      </c>
      <c r="M170" s="26">
        <v>365</v>
      </c>
      <c r="N170" s="26">
        <v>365</v>
      </c>
      <c r="O170" s="26">
        <v>365</v>
      </c>
      <c r="P170" s="26">
        <v>366</v>
      </c>
      <c r="Q170" s="26">
        <v>365</v>
      </c>
      <c r="R170" s="26">
        <v>365</v>
      </c>
      <c r="S170" s="26">
        <v>365</v>
      </c>
      <c r="T170" s="26">
        <v>366</v>
      </c>
      <c r="U170" s="26">
        <v>365</v>
      </c>
      <c r="V170" s="26">
        <v>365</v>
      </c>
      <c r="W170" s="26">
        <v>365</v>
      </c>
      <c r="X170" s="26">
        <v>366</v>
      </c>
      <c r="Y170" s="26">
        <v>365</v>
      </c>
    </row>
    <row r="171" spans="1:26" x14ac:dyDescent="0.25">
      <c r="A171" s="63" t="s">
        <v>79</v>
      </c>
      <c r="C171" s="2"/>
      <c r="D171" s="7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65"/>
      <c r="V171" s="65"/>
      <c r="W171" s="65"/>
      <c r="X171" s="65"/>
      <c r="Y171" s="65"/>
    </row>
    <row r="172" spans="1:26" x14ac:dyDescent="0.25">
      <c r="A172" s="63" t="s">
        <v>36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6" x14ac:dyDescent="0.25">
      <c r="A173" s="63" t="s">
        <v>149</v>
      </c>
    </row>
    <row r="174" spans="1:26" x14ac:dyDescent="0.25">
      <c r="A174" s="63" t="s">
        <v>150</v>
      </c>
    </row>
    <row r="175" spans="1:26" x14ac:dyDescent="0.25">
      <c r="A175" s="63" t="s">
        <v>151</v>
      </c>
    </row>
    <row r="176" spans="1:26" x14ac:dyDescent="0.25">
      <c r="A176" s="66" t="s">
        <v>152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</row>
    <row r="177" spans="1:25" x14ac:dyDescent="0.25">
      <c r="A177" s="66" t="s">
        <v>153</v>
      </c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</row>
    <row r="178" spans="1:25" x14ac:dyDescent="0.25">
      <c r="A178" s="68"/>
      <c r="B178" s="69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</row>
    <row r="179" spans="1:25" x14ac:dyDescent="0.25">
      <c r="A179" s="68"/>
      <c r="B179" s="69"/>
      <c r="D179" s="70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</row>
    <row r="180" spans="1:25" x14ac:dyDescent="0.25">
      <c r="A180" s="68"/>
      <c r="B180" s="69"/>
      <c r="D180" s="70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</row>
  </sheetData>
  <mergeCells count="8">
    <mergeCell ref="A129:A139"/>
    <mergeCell ref="A140:A151"/>
    <mergeCell ref="A152:A166"/>
    <mergeCell ref="A167:A169"/>
    <mergeCell ref="A5:A25"/>
    <mergeCell ref="A26:A61"/>
    <mergeCell ref="A62:A100"/>
    <mergeCell ref="A101:A128"/>
  </mergeCells>
  <pageMargins left="0.7" right="0.7" top="0.75" bottom="0.75" header="0.3" footer="0.3"/>
  <pageSetup paperSize="9" orientation="portrait" r:id="rId1"/>
  <ignoredErrors>
    <ignoredError sqref="Y9 Y42 B156:X156 D163:Y163 X9:X1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B9FA002523FD4E8F50B6ADAA10F021" ma:contentTypeVersion="12" ma:contentTypeDescription="Crear nuevo documento." ma:contentTypeScope="" ma:versionID="3caba0b227e97a57734973329c0ab55d">
  <xsd:schema xmlns:xsd="http://www.w3.org/2001/XMLSchema" xmlns:xs="http://www.w3.org/2001/XMLSchema" xmlns:p="http://schemas.microsoft.com/office/2006/metadata/properties" xmlns:ns2="79735e5c-8018-456a-845d-1b5efa834d1c" xmlns:ns3="36f51209-9f10-4f36-8de1-59c1c6f75fc5" targetNamespace="http://schemas.microsoft.com/office/2006/metadata/properties" ma:root="true" ma:fieldsID="998942b465790eaa9427ded6c07532cf" ns2:_="" ns3:_="">
    <xsd:import namespace="79735e5c-8018-456a-845d-1b5efa834d1c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5e5c-8018-456a-845d-1b5efa834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 xsi:nil="true"/>
    <lcf76f155ced4ddcb4097134ff3c332f xmlns="79735e5c-8018-456a-845d-1b5efa834d1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8405DE-54E5-4875-978B-D3F0B38963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35e5c-8018-456a-845d-1b5efa834d1c"/>
    <ds:schemaRef ds:uri="36f51209-9f10-4f36-8de1-59c1c6f75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207BB2-26F5-4FC7-9A05-B37DF0DCB7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BA27D0-2332-40EA-B156-99435EA52498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36f51209-9f10-4f36-8de1-59c1c6f75fc5"/>
    <ds:schemaRef ds:uri="79735e5c-8018-456a-845d-1b5efa834d1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Evolucion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Lesce</dc:creator>
  <cp:lastModifiedBy>Micaela Baratto</cp:lastModifiedBy>
  <dcterms:created xsi:type="dcterms:W3CDTF">2021-05-28T16:43:05Z</dcterms:created>
  <dcterms:modified xsi:type="dcterms:W3CDTF">2026-02-05T15:47:30Z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0x010100C4B9FA002523FD4E8F50B6ADAA10F021</vt:lpwstr>
  </property>
  <property fmtid="{D5CDD505-2E9C-101B-9397-08002B2CF9AE}" pid="3" name="MediaServiceImageTags">
    <vt:lpwstr/>
  </property>
</Properties>
</file>